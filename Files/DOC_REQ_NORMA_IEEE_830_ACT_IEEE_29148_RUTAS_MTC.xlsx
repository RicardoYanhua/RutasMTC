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3874764bc4b245/Desktop/RutasMTC/Files/"/>
    </mc:Choice>
  </mc:AlternateContent>
  <xr:revisionPtr revIDLastSave="12" documentId="11_6F4C8A4C11122CB239A5EF71D31550806390F4C1" xr6:coauthVersionLast="47" xr6:coauthVersionMax="47" xr10:uidLastSave="{E8A9473A-7CB7-4ED6-8319-CA84A581721B}"/>
  <bookViews>
    <workbookView xWindow="-120" yWindow="-120" windowWidth="29040" windowHeight="15720" xr2:uid="{00000000-000D-0000-FFFF-FFFF00000000}"/>
  </bookViews>
  <sheets>
    <sheet name="EVA" sheetId="1" r:id="rId1"/>
    <sheet name="GRÁFICOS" sheetId="2" r:id="rId2"/>
    <sheet name="INICIO" sheetId="3" r:id="rId3"/>
    <sheet name="RES-RF-RNF" sheetId="4" r:id="rId4"/>
    <sheet name="TABLAS" sheetId="5" r:id="rId5"/>
    <sheet name="DETALLE-IEE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E23" i="5"/>
  <c r="E22" i="5"/>
  <c r="E38" i="4"/>
  <c r="E45" i="4" s="1"/>
  <c r="D38" i="4"/>
  <c r="D45" i="4" s="1"/>
  <c r="C38" i="4"/>
  <c r="C45" i="4" s="1"/>
  <c r="B46" i="4" s="1"/>
  <c r="B38" i="4"/>
  <c r="B45" i="4" s="1"/>
  <c r="C99" i="2"/>
  <c r="B99" i="2"/>
  <c r="C98" i="2"/>
  <c r="B98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B34" i="2"/>
  <c r="B33" i="2"/>
  <c r="B32" i="2"/>
  <c r="B31" i="2"/>
  <c r="B30" i="2"/>
  <c r="B22" i="2"/>
  <c r="B21" i="2"/>
  <c r="B20" i="2"/>
  <c r="B12" i="2"/>
  <c r="B11" i="2"/>
  <c r="B10" i="2"/>
  <c r="K357" i="1"/>
  <c r="K356" i="1"/>
  <c r="K355" i="1"/>
  <c r="K354" i="1"/>
  <c r="K353" i="1"/>
  <c r="K352" i="1"/>
  <c r="K351" i="1"/>
  <c r="K350" i="1"/>
  <c r="K349" i="1"/>
  <c r="K341" i="1"/>
  <c r="K340" i="1"/>
  <c r="K339" i="1"/>
  <c r="K338" i="1"/>
  <c r="K337" i="1"/>
  <c r="K336" i="1"/>
  <c r="K335" i="1"/>
  <c r="K334" i="1"/>
  <c r="K333" i="1"/>
  <c r="K325" i="1"/>
  <c r="K324" i="1"/>
  <c r="K323" i="1"/>
  <c r="K322" i="1"/>
  <c r="K321" i="1"/>
  <c r="K320" i="1"/>
  <c r="K319" i="1"/>
  <c r="K318" i="1"/>
  <c r="K317" i="1"/>
  <c r="K309" i="1"/>
  <c r="K308" i="1"/>
  <c r="K307" i="1"/>
  <c r="K306" i="1"/>
  <c r="K305" i="1"/>
  <c r="K304" i="1"/>
  <c r="K303" i="1"/>
  <c r="K302" i="1"/>
  <c r="K301" i="1"/>
  <c r="K293" i="1"/>
  <c r="K292" i="1"/>
  <c r="K291" i="1"/>
  <c r="K290" i="1"/>
  <c r="K289" i="1"/>
  <c r="K288" i="1"/>
  <c r="K287" i="1"/>
  <c r="K286" i="1"/>
  <c r="K285" i="1"/>
  <c r="K277" i="1"/>
  <c r="K276" i="1"/>
  <c r="K275" i="1"/>
  <c r="K274" i="1"/>
  <c r="K273" i="1"/>
  <c r="K272" i="1"/>
  <c r="K271" i="1"/>
  <c r="K270" i="1"/>
  <c r="K269" i="1"/>
  <c r="K261" i="1"/>
  <c r="K260" i="1"/>
  <c r="K259" i="1"/>
  <c r="K258" i="1"/>
  <c r="K257" i="1"/>
  <c r="K256" i="1"/>
  <c r="K255" i="1"/>
  <c r="K254" i="1"/>
  <c r="K253" i="1"/>
  <c r="K245" i="1"/>
  <c r="K244" i="1"/>
  <c r="K243" i="1"/>
  <c r="K242" i="1"/>
  <c r="K241" i="1"/>
  <c r="K240" i="1"/>
  <c r="K239" i="1"/>
  <c r="K238" i="1"/>
  <c r="K237" i="1"/>
  <c r="K229" i="1"/>
  <c r="K228" i="1"/>
  <c r="K227" i="1"/>
  <c r="K226" i="1"/>
  <c r="K225" i="1"/>
  <c r="K224" i="1"/>
  <c r="K223" i="1"/>
  <c r="K222" i="1"/>
  <c r="K221" i="1"/>
  <c r="K213" i="1"/>
  <c r="K212" i="1"/>
  <c r="K211" i="1"/>
  <c r="K210" i="1"/>
  <c r="K209" i="1"/>
  <c r="K208" i="1"/>
  <c r="K207" i="1"/>
  <c r="K206" i="1"/>
  <c r="K205" i="1"/>
  <c r="K197" i="1"/>
  <c r="K196" i="1"/>
  <c r="K195" i="1"/>
  <c r="K194" i="1"/>
  <c r="K193" i="1"/>
  <c r="K192" i="1"/>
  <c r="K191" i="1"/>
  <c r="K190" i="1"/>
  <c r="K189" i="1"/>
  <c r="K181" i="1"/>
  <c r="K180" i="1"/>
  <c r="K179" i="1"/>
  <c r="K178" i="1"/>
  <c r="K177" i="1"/>
  <c r="K176" i="1"/>
  <c r="K175" i="1"/>
  <c r="K174" i="1"/>
  <c r="K173" i="1"/>
  <c r="K165" i="1"/>
  <c r="K164" i="1"/>
  <c r="K163" i="1"/>
  <c r="K162" i="1"/>
  <c r="K161" i="1"/>
  <c r="K160" i="1"/>
  <c r="K159" i="1"/>
  <c r="K158" i="1"/>
  <c r="K157" i="1"/>
  <c r="K149" i="1"/>
  <c r="K148" i="1"/>
  <c r="K147" i="1"/>
  <c r="K146" i="1"/>
  <c r="K145" i="1"/>
  <c r="K144" i="1"/>
  <c r="K143" i="1"/>
  <c r="K142" i="1"/>
  <c r="K141" i="1"/>
  <c r="K133" i="1"/>
  <c r="K132" i="1"/>
  <c r="K131" i="1"/>
  <c r="K130" i="1"/>
  <c r="K129" i="1"/>
  <c r="K128" i="1"/>
  <c r="K127" i="1"/>
  <c r="K126" i="1"/>
  <c r="K125" i="1"/>
  <c r="K118" i="1"/>
  <c r="C370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L118" i="1" s="1"/>
  <c r="K101" i="1"/>
  <c r="K100" i="1"/>
  <c r="K99" i="1"/>
  <c r="K98" i="1"/>
  <c r="K97" i="1"/>
  <c r="K96" i="1"/>
  <c r="K95" i="1"/>
  <c r="K94" i="1"/>
  <c r="K93" i="1"/>
  <c r="K85" i="1"/>
  <c r="K84" i="1"/>
  <c r="K83" i="1"/>
  <c r="K82" i="1"/>
  <c r="K81" i="1"/>
  <c r="K80" i="1"/>
  <c r="K79" i="1"/>
  <c r="K78" i="1"/>
  <c r="K77" i="1"/>
  <c r="K69" i="1"/>
  <c r="K68" i="1"/>
  <c r="K67" i="1"/>
  <c r="K66" i="1"/>
  <c r="K65" i="1"/>
  <c r="K64" i="1"/>
  <c r="K63" i="1"/>
  <c r="K62" i="1"/>
  <c r="K61" i="1"/>
  <c r="K53" i="1"/>
  <c r="K52" i="1"/>
  <c r="K51" i="1"/>
  <c r="K50" i="1"/>
  <c r="K49" i="1"/>
  <c r="K48" i="1"/>
  <c r="K47" i="1"/>
  <c r="K46" i="1"/>
  <c r="K45" i="1"/>
  <c r="K37" i="1"/>
  <c r="K36" i="1"/>
  <c r="K35" i="1"/>
  <c r="K34" i="1"/>
  <c r="K33" i="1"/>
  <c r="K32" i="1"/>
  <c r="K31" i="1"/>
  <c r="K30" i="1"/>
  <c r="K29" i="1"/>
  <c r="K21" i="1"/>
  <c r="K20" i="1"/>
  <c r="K19" i="1"/>
  <c r="K18" i="1"/>
  <c r="K17" i="1"/>
  <c r="K16" i="1"/>
  <c r="K15" i="1"/>
  <c r="K14" i="1"/>
  <c r="K13" i="1"/>
  <c r="K358" i="1" l="1"/>
  <c r="L349" i="1"/>
  <c r="K342" i="1"/>
  <c r="L333" i="1"/>
  <c r="K326" i="1"/>
  <c r="L317" i="1"/>
  <c r="K310" i="1"/>
  <c r="L301" i="1" s="1"/>
  <c r="K294" i="1"/>
  <c r="L285" i="1"/>
  <c r="K278" i="1"/>
  <c r="L269" i="1"/>
  <c r="K262" i="1"/>
  <c r="L260" i="1" s="1"/>
  <c r="K246" i="1"/>
  <c r="L237" i="1" s="1"/>
  <c r="K230" i="1"/>
  <c r="L221" i="1"/>
  <c r="K214" i="1"/>
  <c r="L205" i="1" s="1"/>
  <c r="K198" i="1"/>
  <c r="L189" i="1" s="1"/>
  <c r="K182" i="1"/>
  <c r="L173" i="1" s="1"/>
  <c r="K166" i="1"/>
  <c r="L157" i="1" s="1"/>
  <c r="K150" i="1"/>
  <c r="L148" i="1" s="1"/>
  <c r="K134" i="1"/>
  <c r="L125" i="1" s="1"/>
  <c r="K102" i="1"/>
  <c r="L96" i="1"/>
  <c r="K86" i="1"/>
  <c r="L77" i="1" s="1"/>
  <c r="K70" i="1"/>
  <c r="L61" i="1" s="1"/>
  <c r="K54" i="1"/>
  <c r="L45" i="1"/>
  <c r="K38" i="1"/>
  <c r="L29" i="1" s="1"/>
  <c r="K22" i="1"/>
  <c r="L13" i="1"/>
  <c r="D46" i="4"/>
  <c r="L350" i="1" l="1"/>
  <c r="L351" i="1"/>
  <c r="L352" i="1"/>
  <c r="L353" i="1"/>
  <c r="L354" i="1"/>
  <c r="L355" i="1"/>
  <c r="L356" i="1"/>
  <c r="L357" i="1"/>
  <c r="C385" i="1"/>
  <c r="L334" i="1"/>
  <c r="L335" i="1"/>
  <c r="L336" i="1"/>
  <c r="L337" i="1"/>
  <c r="L338" i="1"/>
  <c r="L339" i="1"/>
  <c r="L340" i="1"/>
  <c r="L341" i="1"/>
  <c r="C384" i="1"/>
  <c r="L318" i="1"/>
  <c r="L319" i="1"/>
  <c r="L320" i="1"/>
  <c r="L321" i="1"/>
  <c r="L322" i="1"/>
  <c r="L323" i="1"/>
  <c r="L324" i="1"/>
  <c r="L325" i="1"/>
  <c r="C383" i="1"/>
  <c r="L302" i="1"/>
  <c r="L303" i="1"/>
  <c r="L304" i="1"/>
  <c r="L305" i="1"/>
  <c r="L306" i="1"/>
  <c r="L307" i="1"/>
  <c r="L308" i="1"/>
  <c r="L309" i="1"/>
  <c r="C382" i="1"/>
  <c r="L286" i="1"/>
  <c r="L287" i="1"/>
  <c r="L288" i="1"/>
  <c r="L289" i="1"/>
  <c r="L290" i="1"/>
  <c r="L291" i="1"/>
  <c r="L292" i="1"/>
  <c r="L293" i="1"/>
  <c r="C381" i="1"/>
  <c r="L270" i="1"/>
  <c r="L271" i="1"/>
  <c r="L272" i="1"/>
  <c r="L273" i="1"/>
  <c r="L274" i="1"/>
  <c r="L275" i="1"/>
  <c r="L276" i="1"/>
  <c r="L277" i="1"/>
  <c r="C380" i="1"/>
  <c r="L253" i="1"/>
  <c r="L254" i="1"/>
  <c r="L255" i="1"/>
  <c r="L256" i="1"/>
  <c r="L257" i="1"/>
  <c r="L258" i="1"/>
  <c r="L261" i="1"/>
  <c r="C379" i="1"/>
  <c r="L259" i="1"/>
  <c r="L238" i="1"/>
  <c r="L239" i="1"/>
  <c r="L240" i="1"/>
  <c r="L241" i="1"/>
  <c r="L242" i="1"/>
  <c r="L243" i="1"/>
  <c r="L244" i="1"/>
  <c r="L245" i="1"/>
  <c r="C378" i="1"/>
  <c r="L222" i="1"/>
  <c r="L223" i="1"/>
  <c r="L224" i="1"/>
  <c r="L225" i="1"/>
  <c r="L226" i="1"/>
  <c r="L227" i="1"/>
  <c r="L228" i="1"/>
  <c r="L229" i="1"/>
  <c r="C377" i="1"/>
  <c r="L206" i="1"/>
  <c r="L207" i="1"/>
  <c r="L208" i="1"/>
  <c r="L209" i="1"/>
  <c r="L210" i="1"/>
  <c r="L211" i="1"/>
  <c r="L212" i="1"/>
  <c r="L213" i="1"/>
  <c r="C376" i="1"/>
  <c r="L190" i="1"/>
  <c r="L191" i="1"/>
  <c r="L192" i="1"/>
  <c r="L193" i="1"/>
  <c r="L194" i="1"/>
  <c r="L195" i="1"/>
  <c r="L196" i="1"/>
  <c r="L197" i="1"/>
  <c r="C375" i="1"/>
  <c r="L174" i="1"/>
  <c r="L175" i="1"/>
  <c r="L176" i="1"/>
  <c r="L177" i="1"/>
  <c r="L178" i="1"/>
  <c r="L179" i="1"/>
  <c r="L180" i="1"/>
  <c r="L181" i="1"/>
  <c r="C374" i="1"/>
  <c r="L158" i="1"/>
  <c r="L159" i="1"/>
  <c r="L160" i="1"/>
  <c r="L161" i="1"/>
  <c r="L162" i="1"/>
  <c r="L163" i="1"/>
  <c r="L164" i="1"/>
  <c r="L165" i="1"/>
  <c r="C373" i="1"/>
  <c r="L141" i="1"/>
  <c r="L142" i="1"/>
  <c r="L143" i="1"/>
  <c r="L144" i="1"/>
  <c r="L145" i="1"/>
  <c r="L146" i="1"/>
  <c r="L147" i="1"/>
  <c r="L149" i="1"/>
  <c r="C372" i="1"/>
  <c r="L126" i="1"/>
  <c r="L127" i="1"/>
  <c r="L128" i="1"/>
  <c r="L129" i="1"/>
  <c r="L130" i="1"/>
  <c r="L131" i="1"/>
  <c r="L132" i="1"/>
  <c r="L133" i="1"/>
  <c r="C371" i="1"/>
  <c r="L93" i="1"/>
  <c r="L94" i="1"/>
  <c r="L97" i="1"/>
  <c r="L98" i="1"/>
  <c r="L99" i="1"/>
  <c r="L100" i="1"/>
  <c r="L101" i="1"/>
  <c r="C369" i="1"/>
  <c r="L95" i="1"/>
  <c r="L84" i="1"/>
  <c r="L78" i="1"/>
  <c r="L79" i="1"/>
  <c r="L80" i="1"/>
  <c r="L81" i="1"/>
  <c r="L82" i="1"/>
  <c r="L83" i="1"/>
  <c r="L85" i="1"/>
  <c r="C368" i="1"/>
  <c r="L63" i="1"/>
  <c r="L66" i="1"/>
  <c r="L69" i="1"/>
  <c r="L62" i="1"/>
  <c r="L64" i="1"/>
  <c r="L65" i="1"/>
  <c r="L67" i="1"/>
  <c r="L68" i="1"/>
  <c r="C367" i="1"/>
  <c r="L47" i="1"/>
  <c r="L49" i="1"/>
  <c r="L51" i="1"/>
  <c r="L53" i="1"/>
  <c r="L46" i="1"/>
  <c r="L48" i="1"/>
  <c r="L50" i="1"/>
  <c r="L52" i="1"/>
  <c r="C366" i="1"/>
  <c r="L31" i="1"/>
  <c r="L33" i="1"/>
  <c r="L35" i="1"/>
  <c r="L37" i="1"/>
  <c r="L30" i="1"/>
  <c r="L32" i="1"/>
  <c r="L34" i="1"/>
  <c r="L36" i="1"/>
  <c r="C365" i="1"/>
  <c r="L16" i="1"/>
  <c r="L18" i="1"/>
  <c r="L19" i="1"/>
  <c r="L21" i="1"/>
  <c r="L14" i="1"/>
  <c r="L17" i="1"/>
  <c r="L20" i="1"/>
  <c r="L15" i="1"/>
  <c r="C364" i="1"/>
  <c r="L358" i="1" l="1"/>
  <c r="L342" i="1"/>
  <c r="L326" i="1"/>
  <c r="L310" i="1"/>
  <c r="L294" i="1"/>
  <c r="L278" i="1"/>
  <c r="L262" i="1"/>
  <c r="L246" i="1"/>
  <c r="L166" i="1"/>
  <c r="L134" i="1"/>
  <c r="L230" i="1"/>
  <c r="L214" i="1"/>
  <c r="L198" i="1"/>
  <c r="L182" i="1"/>
  <c r="L150" i="1"/>
  <c r="L70" i="1"/>
  <c r="L54" i="1"/>
  <c r="L38" i="1"/>
  <c r="L22" i="1"/>
  <c r="L102" i="1"/>
  <c r="L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DEPART. SISTEMAS</author>
  </authors>
  <commentList>
    <comment ref="C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0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0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0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0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0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1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1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1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1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1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1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1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1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3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3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4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4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4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4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4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4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4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4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5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5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6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6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6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6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6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6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6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7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45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45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45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45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4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45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45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4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4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46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6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46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46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6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6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6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4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4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7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4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4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4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4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48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48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48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48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48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48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49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49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49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9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49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9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9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9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0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50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50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50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50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50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50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50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1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51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51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51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51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5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51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51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2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52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52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52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52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5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52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52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53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53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53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53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53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53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53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53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61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61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61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61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61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61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61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61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62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2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2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2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2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3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3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3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3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3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3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3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4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4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4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64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4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4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64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64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65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5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65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5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5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5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6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7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7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7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7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7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7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7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8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8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68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68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8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8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68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69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9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9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69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69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6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7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7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77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77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77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7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77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77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78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78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78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78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78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78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78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78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79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7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79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79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79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7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79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79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0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0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80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0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80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80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81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1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1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1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81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81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2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2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2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82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82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2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2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3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3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3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3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8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83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3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3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4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4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4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84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84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4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84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8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8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8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8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3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3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3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3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3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3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3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3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4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4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4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4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4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4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4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4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5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5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5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5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5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5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5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5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6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96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96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96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6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96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6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96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97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97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97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97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97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97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97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7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8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8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8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8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8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98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8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8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9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99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99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99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9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9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99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0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0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00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00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00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0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00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00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01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01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01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0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0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0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01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09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09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09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09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9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09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09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09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0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10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0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0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0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10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0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0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1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11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1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1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1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11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1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1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2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2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2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12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2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2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2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12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13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13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13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13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13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13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13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3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4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14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14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4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4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4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4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4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5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15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15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15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5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5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15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5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6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6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6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16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16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6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6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16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17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7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7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17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17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7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7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7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25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25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5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5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5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5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5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26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6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6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6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6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6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6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7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27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7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7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7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7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7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7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8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28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28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28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8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28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8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28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29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29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29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29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29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29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29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9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0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30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30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30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30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0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30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30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1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31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31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31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31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1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31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31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2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32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32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32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32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2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2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32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33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33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33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33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33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3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3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33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41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41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41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41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41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41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41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41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42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2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2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2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2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2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2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2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3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3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3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3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3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3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3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3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4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4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4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44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4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4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44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44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45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5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5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5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45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5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5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5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6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6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6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6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6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6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6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6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7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7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7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7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7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7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7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7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8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8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8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48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48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8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8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48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49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9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9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49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49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9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9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49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57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57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57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57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57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57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57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57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58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58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58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58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58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58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58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58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59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5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59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59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59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59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59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59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0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0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0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60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0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0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0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60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61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61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61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61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61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61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61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61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2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62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62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62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62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62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62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62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63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63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3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63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63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63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3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63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4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4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4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64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64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4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4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64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65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5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5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65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65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5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5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5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73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3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73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73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73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73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3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73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4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74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74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74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4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74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74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74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75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5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75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75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75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75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5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5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76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76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6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76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76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76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6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76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7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7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77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7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7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77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7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7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78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78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78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78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78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78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78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78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79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9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9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9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79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79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9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9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80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0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0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0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0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0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0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80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81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1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1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1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1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1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1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81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9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9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9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9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9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9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89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89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0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90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90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90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90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90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90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90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91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1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1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1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1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91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1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1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2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2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2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92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2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2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2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92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3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3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93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3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93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93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3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3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4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94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94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94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94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94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94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94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95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5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5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5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5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5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5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5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6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6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6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6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96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6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6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96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7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7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7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7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97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7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7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7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05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05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05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05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05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05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05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05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06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6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6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06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06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6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6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6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7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07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7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07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07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7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7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7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8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08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8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08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08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08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08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08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09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09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09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9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09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9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9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9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0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10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10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10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10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10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10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10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1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11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11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11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11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11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11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11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2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2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2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2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2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2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2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12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13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3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3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3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3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3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3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13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21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21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21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21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21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21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21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21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22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2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2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2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2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2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2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2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3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3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3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3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3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3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3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3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4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4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4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24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4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4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24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24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25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5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5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5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25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5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5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5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6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6" authorId="0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6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6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6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6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6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6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7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7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7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7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7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7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7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7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8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8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8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28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28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8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8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28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29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9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9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29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29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9" authorId="0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9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29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37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37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37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37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37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37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37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37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38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38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38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38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38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38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38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38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39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39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39" authorId="0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39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39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39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39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39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0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0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0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40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0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0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40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40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41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1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1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1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41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41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1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1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2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2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2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2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42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42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2" authorId="0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2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3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3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3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3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43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43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3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3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4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4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4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44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44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4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4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44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45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5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5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45" authorId="0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45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5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5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45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53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53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53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53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53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53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53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53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54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54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4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4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4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4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4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4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5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5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5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5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5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5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5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5" authorId="0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6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56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56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56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56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56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56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56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57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7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7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7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57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7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7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7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8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8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8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8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8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8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8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8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9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9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9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9" authorId="0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9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9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9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9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60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60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60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60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60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60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60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60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61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61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61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61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61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61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61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61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69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69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69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69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69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69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69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69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70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0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0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0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0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0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0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0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1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1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1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1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1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1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1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1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2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2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2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72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2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2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72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72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73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3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3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3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73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3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3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3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4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4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4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4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4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4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4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4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5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5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5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5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5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5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5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5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6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6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6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76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76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6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6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76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77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7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7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77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77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7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7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77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85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85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85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85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85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85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85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85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86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286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86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86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86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86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286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86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87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87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87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87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87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87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87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87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88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88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88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88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88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88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88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88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89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89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89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89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89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89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89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89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90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290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90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90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90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90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90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90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91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91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1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91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91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91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91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91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92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2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2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92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92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92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92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92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93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3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3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93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93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93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93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93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1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1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1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1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1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1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1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1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2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2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2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2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2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2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2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2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3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3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3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3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3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3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3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3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4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4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4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04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4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4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4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04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05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05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305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05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05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05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05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5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6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6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6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6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6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6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6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6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7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07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307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07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7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7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07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7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8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8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8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08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08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8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8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08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09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9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9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09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09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9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9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9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17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17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17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17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17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17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17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17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18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18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18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18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18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18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18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18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19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19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19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19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19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19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19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19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0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0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0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20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0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0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0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20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21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21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21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21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21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21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21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21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2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22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22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22" authorId="0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22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22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22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22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23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23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3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23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23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23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3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23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4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4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4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24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24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4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4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24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25" authorId="0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5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5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25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25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5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5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5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33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3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33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33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33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33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3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33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4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34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34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34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4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34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34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34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35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5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35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35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35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35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5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5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36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36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6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36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36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36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6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36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7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7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37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7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7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37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7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7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38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38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38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38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38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38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38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38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39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9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9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9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39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39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9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9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40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0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0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0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0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0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0" authorId="0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40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41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1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1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1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1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1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1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41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9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9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9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9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9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9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49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49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0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50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50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50" authorId="0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50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50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50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50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51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1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1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1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1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51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1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1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2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2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2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52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2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2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2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52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3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3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53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3" authorId="0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53" authorId="0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53" authorId="0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3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3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4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54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54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54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54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54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54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54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55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5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5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5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5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5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5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5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6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6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6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6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56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6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6" authorId="0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56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7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7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7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7" authorId="0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57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7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7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7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</commentList>
</comments>
</file>

<file path=xl/sharedStrings.xml><?xml version="1.0" encoding="utf-8"?>
<sst xmlns="http://schemas.openxmlformats.org/spreadsheetml/2006/main" count="1190" uniqueCount="329">
  <si>
    <t>INICIO DEL PROYECTO</t>
  </si>
  <si>
    <t>Nombre del Proyecto</t>
  </si>
  <si>
    <t>Siglas del Proyecto</t>
  </si>
  <si>
    <t>Sistema Web de Rutas Turísticas Peatonales desde Estaciones Ferroviarias "RUTAS MTC"</t>
  </si>
  <si>
    <t>RT-2026-001</t>
  </si>
  <si>
    <t>Descripción del Proyecto: Qué, quién, cómo, cuándo y dónde?</t>
  </si>
  <si>
    <t>QUÉ: Plataforma web que actúa como asesor turístico especializado y entrega al ciudadano rutas diseñadas para recorrerse exclusivamente a pie desde las estaciones ferroviarias, bajo un modelo de trayecto único de ida y vuelta.
QUIÉN: Proyecto dispuesto por el Ministerio de Transportes y Comunicaciones (MTC) y ejecutado por el equipo de proyecto. Las fuentes de información periódica son SENAMHI (clima), PeruRail (estaciones, horarios y tarifas) y Travel Group Perú (zonas turísticas).
CÓMO: Bajo Scrum Vanilla (Scrum Guide 2020), con arquitectura MVC en capas: Angular 22 en el frontend, Node.js 20 con Express 5 en el backend y MySQL 8 normalizada en 3FN con prefijos.
CUÁNDO: Del 03 al 17 de agosto de 2026, en 15 días (Sprint 0 + Sprint 1 + Sprint 2).
DÓNDE: Perú. Corredor ferroviario del sur con 13 estaciones y 42 zonas turísticas cargadas.</t>
  </si>
  <si>
    <t>Definición del Producto del Proyecto: Descripción del producto, servicio o capacidad a generar.</t>
  </si>
  <si>
    <t>Plataforma web pública con panel administrativo por roles. Permite al turista definir sus preferencias, seleccionar su estación de partida, visualizar las zonas turísticas cercanas compatibles y obtener un informe consolidado con la ruta de ida y vuelta, el pronóstico climático y el servicio ferroviario con su tarifa, identificado con un folio único INF-AAAA-NNNNNN.
El panel entrega tres perfiles: PeruRail administra estaciones, horarios y tarifas; Travel Group Perú administra zonas turísticas y sus hitos; y el gestor MTC supervisa todos los módulos y decide qué se publica. Ningún registro se elimina físicamente.</t>
  </si>
  <si>
    <t>Objetivos del Proyecto: Metas hacia las cuales se debe dirigir el trabajo del proyecto en términos de la triple restricción.</t>
  </si>
  <si>
    <t>Concepto</t>
  </si>
  <si>
    <t>Objetivos</t>
  </si>
  <si>
    <t>criterio de Éxito</t>
  </si>
  <si>
    <t>1. Alcance</t>
  </si>
  <si>
    <t>Análisis, diseño, construcción y despliegue de la plataforma: Módulo de Integración de Datos, Módulo de Administración con CRUD por rol y panel de publicación, Módulo Cliente/Usuario Final con el planificador guiado y Módulo de Informes. Incluye base de datos en 3FN con prefijos, plan de pruebas, manual de usuario y manual de instalación. No contempla aplicación móvil nativa, pasarela de pago ni integración con los sistemas internos de venta de PeruRail.</t>
  </si>
  <si>
    <t>Aprobación de todos los entregables por el MTC, sin observaciones críticas pendientes.</t>
  </si>
  <si>
    <t>2. Tiempo</t>
  </si>
  <si>
    <t>El proyecto debe terminar en el plazo estipulado, sin ampliaciones de cronograma.</t>
  </si>
  <si>
    <t>Concluir el proyecto en un plazo de 15 días (03 al 17 de agosto de 2026).</t>
  </si>
  <si>
    <t>3. Costo</t>
  </si>
  <si>
    <t>El presupuesto del proyecto es de S/ 00 000,00 (no aplica en esta sesión: proyecto de carácter académico).</t>
  </si>
  <si>
    <t>No exceder el presupuesto proyectado inicialmente.</t>
  </si>
  <si>
    <t>Designación del especialista: analista de negocios.</t>
  </si>
  <si>
    <t>Categoría de Gestión</t>
  </si>
  <si>
    <t>Información del Perfil</t>
  </si>
  <si>
    <t>Detalles de Autoridad y Supervisión</t>
  </si>
  <si>
    <t>Identificación</t>
  </si>
  <si>
    <t>Nombre: Marcelo Tapia</t>
  </si>
  <si>
    <t>Especialista encargado del análisis de los procesos de negocio del turismo peatonal y de la integración de las tres fuentes de datos.</t>
  </si>
  <si>
    <t>Linea de Mando</t>
  </si>
  <si>
    <t>Reporta a: Jefe del Proyecto – Marcelo Tapia</t>
  </si>
  <si>
    <t>Nivel estratégico-funcional; canaliza al MTC la validación de los requerimientos levantados.</t>
  </si>
  <si>
    <t>Supervisa Operativa</t>
  </si>
  <si>
    <t>Supervisa a: Arquitecta de Software – Sharon Valera</t>
  </si>
  <si>
    <t>Control funcional sobre la traducción de los requerimientos a decisiones de diseño técnico.</t>
  </si>
  <si>
    <t>Niveles de Autoridad Analista de Negocios</t>
  </si>
  <si>
    <t>Responsabilidad Técnica:</t>
  </si>
  <si>
    <t>(1). Aprueba el informe de Requerimientos Funcionales (RF) y No Funcionales (RNF) priorizados bajo IEEE 830 actualizada a ISO/IEC/IEEE 29148.
(2). Valida las reglas de negocio del planificador: trayecto único de ida y vuelta y filtrado por intereses, dificultad y tiempo.
(3). Define el modelo de roles del panel y la separación entre baja lógica y publicación.
(4). Valida el contenido y la estructura del informe turístico consolidado.
(5). Aprueba los casos de uso y el diagrama de flujo antes de su paso a construcción.</t>
  </si>
  <si>
    <t>Designación del especialista: arquitecto de software.</t>
  </si>
  <si>
    <t>Nombre: Sharon Valera</t>
  </si>
  <si>
    <t>Responsable de diseñar la arquitectura técnica del sistema (MVC en capas, API REST y modelo de datos en 3FN).</t>
  </si>
  <si>
    <t>Nivel táctico-técnico que alinea los requerimientos con la solución tecnológica.</t>
  </si>
  <si>
    <t>Supervisa a: Desarrollador – Ricardo Yanapa</t>
  </si>
  <si>
    <t>Supervisa que el código respete la arquitectura por capas, los patrones y la convención de prefijos.</t>
  </si>
  <si>
    <t>Niveles de Autoridad del arquitecto de software.</t>
  </si>
  <si>
    <t>Define y aprueba la arquitectura lógica y física, valida los requerimientos no funcionales de rendimiento, seguridad y disponibilidad, aprueba el stack tecnológico y el esquema en 3FN, y supervisa que la verificación de roles se ejecute siempre en el servidor.</t>
  </si>
  <si>
    <t>Designación del especialista: desarrollador.</t>
  </si>
  <si>
    <t>Nombre: Ricardo Yanapa</t>
  </si>
  <si>
    <t>Responsable del desarrollo e implementación de los módulos del backend (API REST) y del frontend (SPA Angular).</t>
  </si>
  <si>
    <t>Reporta a: Arquitecta de Software – Sharon Valera</t>
  </si>
  <si>
    <t>Nivel operativo técnico que recibe los lineamientos arquitectónicos y corrige las observaciones de calidad.</t>
  </si>
  <si>
    <t>Supervisa a: No aplica (rol de ejecución individual)</t>
  </si>
  <si>
    <t>Rol de ejecución directa que colabora con el Asegurador de Calidad y con la Arquitecta de Software.</t>
  </si>
  <si>
    <t>Niveles de Autoridad del desarrollador</t>
  </si>
  <si>
    <t>Implementa el cálculo de la ruta de ida y vuelta y su línea de tiempo, la sincronización automática del clima, el cifrado bcrypt y los tokens JWT, la validación de entradas en el servidor y la ausencia total de borrado físico de registros.</t>
  </si>
  <si>
    <t>Designación del especialista: asegurador de calidad.</t>
  </si>
  <si>
    <t>Nombre: Kimder De Jesús</t>
  </si>
  <si>
    <t>Verifica y certifica la calidad del software en todas sus etapas.</t>
  </si>
  <si>
    <t>Nivel de control y validación independiente del equipo de desarrollo.</t>
  </si>
  <si>
    <t>Supervisa a: No aplica (rol de evaluación independiente)</t>
  </si>
  <si>
    <t>Rol de evaluación autónoma que coordina la corrección de defectos y la verificación de los RNF.</t>
  </si>
  <si>
    <t>Niveles de Autoridad del asegurador de calidad</t>
  </si>
  <si>
    <t>Diseña y ejecuta el plan de pruebas funcionales y no funcionales: planificador de cuatro pasos, filtrado por preferencias, informe y folio único, control de acceso por rol, sincronización climática y su degradación, y medición del tiempo de respuesta.</t>
  </si>
  <si>
    <t>Designación del especialista: jefe del proyecto.</t>
  </si>
  <si>
    <t>Nombre: Marcelo Tapia</t>
  </si>
  <si>
    <t>Responsable máximo de la planificación, ejecución y cierre del proyecto e interlocutor ante el MTC.</t>
  </si>
  <si>
    <t>Reporta a: Dirección General del Ministerio de Transportes y Comunicaciones (MTC)</t>
  </si>
  <si>
    <t>Nivel estratégico superior que reporta avances, riesgos y decisiones críticas.</t>
  </si>
  <si>
    <t>Supervisa a: Todo el equipo del proyecto (Analista, Arquitecta, Desarrollador y QA)</t>
  </si>
  <si>
    <t>Ejerce control integral sobre los especialistas del equipo.</t>
  </si>
  <si>
    <t>Niveles de Autoridad del jefe de proyecto</t>
  </si>
  <si>
    <t>Aprueba y controla el plan, el cronograma y los recursos; gestiona los riesgos; conduce las ceremonias Scrum como Product Owner; aprueba los entregables de cada Sprint; y coordina con PeruRail, Travel Group Perú y el MTC la periodicidad de los flujos de información.</t>
  </si>
  <si>
    <t>Cronograma de Hitos del Proyecto.</t>
  </si>
  <si>
    <t>Hito o Evento Significativo</t>
  </si>
  <si>
    <t>Fecha Programada</t>
  </si>
  <si>
    <t>Inicio del Proyecto</t>
  </si>
  <si>
    <t>03 de Agosto del 2026</t>
  </si>
  <si>
    <t xml:space="preserve">1. Identificación del Proyecto. </t>
  </si>
  <si>
    <t xml:space="preserve">2. Contratos y acuerdos de intercambio de información. </t>
  </si>
  <si>
    <t>05 de Agosto del 2026</t>
  </si>
  <si>
    <t xml:space="preserve">3. Desarrollo del Proyecto (Sprint 1 y Sprint 2). </t>
  </si>
  <si>
    <t>10 de Agosto del 2026</t>
  </si>
  <si>
    <t xml:space="preserve">4. Implantación del Proyecto de IS. </t>
  </si>
  <si>
    <t>15 de Agosto del 2026</t>
  </si>
  <si>
    <t xml:space="preserve">5. Informes y cierre documental. </t>
  </si>
  <si>
    <t>17 de Agosto del 2026</t>
  </si>
  <si>
    <t xml:space="preserve">Fin del Proyecto. </t>
  </si>
  <si>
    <t>Organizaciones o Grupos Organizacionales que intervienen en el Proyecto.</t>
  </si>
  <si>
    <t>Organización o Grupo Organizacional</t>
  </si>
  <si>
    <t>Rol que desempeña</t>
  </si>
  <si>
    <t>USUARIO DE SERVICIOS DE INFORMACIÓN (TURISTA / CIUDADANO)</t>
  </si>
  <si>
    <t>Usuario final no autenticado que define sus preferencias turísticas, selecciona su estación de partida, consulta las zonas cercanas con su pronóstico y su ruta a pie, y obtiene el informe consolidado.</t>
  </si>
  <si>
    <t>MINISTERIO DE TRANSPORTES Y COMUNICACIONES (MTC)</t>
  </si>
  <si>
    <t>Entidad promotora y propietaria de la plataforma. Actúa como gestor: accede a todos los módulos, supervisa la información cargada por las entidades proveedoras y ejerce de forma exclusiva la decisión de publicación.</t>
  </si>
  <si>
    <t>PERURAIL</t>
  </si>
  <si>
    <t>Empresa operadora ferroviaria responsable del flujo periódico de datos logísticos: estaciones, horarios de salida y retorno, tiempos de tránsito y tarifas de billetes. Es la dueña del dato.</t>
  </si>
  <si>
    <t>TRAVEL GROUP PERÚ</t>
  </si>
  <si>
    <t>Empresa responsable del levantamiento y la actualización de las zonas turísticas y de sus hitos de recorrido. Consulta las estaciones en solo lectura.</t>
  </si>
  <si>
    <t>SENAMHI (INTEGRACIÓN AUTOMÁTICA DE CLIMA)</t>
  </si>
  <si>
    <t>Fuente de previsiones climatológicas por zona geográfica. Sin panel administrativo: su información ingresa por sincronización automática diaria a las 05:00 hora de Lima y bajo demanda.</t>
  </si>
  <si>
    <t>EQUIPO DEL PROYECTO</t>
  </si>
  <si>
    <t>Grupo responsable de planificar, analizar, diseñar, construir, probar e implantar la plataforma, distribuido en Product Owner, Scrum Master y Development Team.</t>
  </si>
  <si>
    <t>Principales Amenazas del Proyecto(Riesgos Negativos).</t>
  </si>
  <si>
    <t>·         Indisponibilidad o cambio no anunciado del servicio externo de previsión climática.</t>
  </si>
  <si>
    <t>·         Entrega tardía o incompleta de los datos logísticos de PeruRail.</t>
  </si>
  <si>
    <t>·         Retraso de Travel Group Perú en el levantamiento de las zonas turísticas.</t>
  </si>
  <si>
    <t>·         Inadecuada definición del alcance y ampliación de los plazos en los entregables.</t>
  </si>
  <si>
    <t>·         Falta de compromiso, de recursos o cambios en los integrantes del equipo.</t>
  </si>
  <si>
    <t>·         Información turística publicada sin revisión del gestor MTC.</t>
  </si>
  <si>
    <t>Código:</t>
  </si>
  <si>
    <t>Sistema Web de Rutas Turísticas Peatonales desde Estaciones Ferroviarias</t>
  </si>
  <si>
    <t>Aprobado por:</t>
  </si>
  <si>
    <t>Ing. Mg. Freddy Ferrari Fernández</t>
  </si>
  <si>
    <t>Nombre del archivo:</t>
  </si>
  <si>
    <t>DOC-REQ-RT-2026-001 – Norma IEEE 830 act. ISO/IEC/IEEE 29148.xlsx</t>
  </si>
  <si>
    <t>Nivel de confidencialidad:</t>
  </si>
  <si>
    <t>Media</t>
  </si>
  <si>
    <t>RF:</t>
  </si>
  <si>
    <t>RF01: Consultar catálogo público de estaciones</t>
  </si>
  <si>
    <t>Ponderación de las Características</t>
  </si>
  <si>
    <t>Necesario</t>
  </si>
  <si>
    <t>Completo</t>
  </si>
  <si>
    <t>Consistente</t>
  </si>
  <si>
    <t>Singular</t>
  </si>
  <si>
    <t>No ambiguo</t>
  </si>
  <si>
    <t>Factible</t>
  </si>
  <si>
    <t>Verificable</t>
  </si>
  <si>
    <t>Modificable</t>
  </si>
  <si>
    <t>Rastreable</t>
  </si>
  <si>
    <t>Total</t>
  </si>
  <si>
    <t>Peso ponderado definido</t>
  </si>
  <si>
    <t>-</t>
  </si>
  <si>
    <t>RF02: Consultar zonas turísticas por estación</t>
  </si>
  <si>
    <t>RF03: Registrar preferencias turísticas</t>
  </si>
  <si>
    <t>RF04: Seleccionar estación de partida</t>
  </si>
  <si>
    <t>RF05: Listar alternativas compatibles</t>
  </si>
  <si>
    <t>RF06: Calcular la ruta peatonal de ida y vuelta</t>
  </si>
  <si>
    <t>RF07: Consultar el pronóstico climático</t>
  </si>
  <si>
    <t>RF08: Sincronizar automáticamente el clima</t>
  </si>
  <si>
    <t>RF09: Generar el informe turístico consolidado</t>
  </si>
  <si>
    <t>RF10: Recuperar un informe por su código</t>
  </si>
  <si>
    <t>RF11: Autenticar a los operadores del panel</t>
  </si>
  <si>
    <t>RF12: Controlar el acceso por rol</t>
  </si>
  <si>
    <t>RF13: Administrar estaciones ferroviarias</t>
  </si>
  <si>
    <t>RF14: Administrar servicios, horarios y tarifas</t>
  </si>
  <si>
    <t>RF15: Administrar zonas turísticas e hitos</t>
  </si>
  <si>
    <t>RF16: Consultar estaciones en solo lectura</t>
  </si>
  <si>
    <t>RF17: Publicar o retirar contenido público</t>
  </si>
  <si>
    <t>RF18: Dar de baja y reactivar lógicamente</t>
  </si>
  <si>
    <t>RF19: Validar los datos de entrada</t>
  </si>
  <si>
    <t>RF20: Cargar imágenes de estaciones y zonas</t>
  </si>
  <si>
    <t>RF21: Visualizar la ruta sobre un mapa</t>
  </si>
  <si>
    <t>RF22: Exportar el informe a PDF</t>
  </si>
  <si>
    <t>REQ</t>
  </si>
  <si>
    <t>TOTAL</t>
  </si>
  <si>
    <t>CRITERIO GANADOR</t>
  </si>
  <si>
    <t>PESO AHP</t>
  </si>
  <si>
    <t>PRIORIDAD IEEE 830</t>
  </si>
  <si>
    <t>MÓDULO</t>
  </si>
  <si>
    <t>RF01</t>
  </si>
  <si>
    <t>Esencial</t>
  </si>
  <si>
    <t>Integración</t>
  </si>
  <si>
    <t>RF02</t>
  </si>
  <si>
    <t>Cliente</t>
  </si>
  <si>
    <t>RF03</t>
  </si>
  <si>
    <t>RF04</t>
  </si>
  <si>
    <t>RF05</t>
  </si>
  <si>
    <t>RF06</t>
  </si>
  <si>
    <t>RF07</t>
  </si>
  <si>
    <t>RF08</t>
  </si>
  <si>
    <t>RF09</t>
  </si>
  <si>
    <t>Informes</t>
  </si>
  <si>
    <t>RF10</t>
  </si>
  <si>
    <t>RF11</t>
  </si>
  <si>
    <t>Administración</t>
  </si>
  <si>
    <t>RF12</t>
  </si>
  <si>
    <t>RF13</t>
  </si>
  <si>
    <t>RF14</t>
  </si>
  <si>
    <t>RF15</t>
  </si>
  <si>
    <t>RF16</t>
  </si>
  <si>
    <t>RF17</t>
  </si>
  <si>
    <t>RF18</t>
  </si>
  <si>
    <t>RF19</t>
  </si>
  <si>
    <t>Transversal</t>
  </si>
  <si>
    <t>RF20</t>
  </si>
  <si>
    <t>Condicional</t>
  </si>
  <si>
    <t>RF21</t>
  </si>
  <si>
    <t>RF22</t>
  </si>
  <si>
    <t>Opcional</t>
  </si>
  <si>
    <t>PANEL DE GRÁFICOS · EVALUACIÓN DE REQUERIMIENTOS</t>
  </si>
  <si>
    <t>Sistema Web de Rutas Turísticas Peatonales desde Estaciones Ferroviarias · RT-2026-001 · Norma ISO/IEC/IEEE 29148</t>
  </si>
  <si>
    <t>Todos los gráficos están vinculados a las celdas: si cambias una puntuación en la hoja EVA, se actualizan solos.</t>
  </si>
  <si>
    <t>1. Requerimientos por criterio ganador</t>
  </si>
  <si>
    <t>Cuántos RF gobierna cada característica de calidad.</t>
  </si>
  <si>
    <t>Criterio ganador</t>
  </si>
  <si>
    <t>RF</t>
  </si>
  <si>
    <t>2. Requerimientos por prioridad IEEE 830</t>
  </si>
  <si>
    <t>Grado de necesidad declarado en la Documentación SCRUM.</t>
  </si>
  <si>
    <t>Prioridad</t>
  </si>
  <si>
    <t>3. Requerimientos por módulo del sistema</t>
  </si>
  <si>
    <t>Reparto funcional entre los cuatro módulos y lo transversal.</t>
  </si>
  <si>
    <t>Módulo</t>
  </si>
  <si>
    <t>4. Peso AHP del criterio ganador por requerimiento</t>
  </si>
  <si>
    <t>Cuánto domina el criterio ganador dentro de cada matriz 9x9.</t>
  </si>
  <si>
    <t>Peso AHP</t>
  </si>
  <si>
    <t>5. Peso ponderado de los nueve criterios en cada perfil</t>
  </si>
  <si>
    <t>Patrón de comparación de los tres perfiles de evaluación aplicados.</t>
  </si>
  <si>
    <t>Criterio</t>
  </si>
  <si>
    <t>Perfil A</t>
  </si>
  <si>
    <t>Perfil B</t>
  </si>
  <si>
    <t>Perfil C</t>
  </si>
  <si>
    <t>6. Cobertura de requerimientos evidenciados</t>
  </si>
  <si>
    <t>Contraste entre lo especificado en el caso y lo evidenciado en el producto.</t>
  </si>
  <si>
    <t>Tipo</t>
  </si>
  <si>
    <t>Especificados</t>
  </si>
  <si>
    <t>Evidenciados</t>
  </si>
  <si>
    <t>Funcionales (RF)</t>
  </si>
  <si>
    <t>No funcionales (RNF)</t>
  </si>
  <si>
    <t>Versión:</t>
  </si>
  <si>
    <t>1.0</t>
  </si>
  <si>
    <t>Fecha de la versión:</t>
  </si>
  <si>
    <t>17 de agosto de 2026</t>
  </si>
  <si>
    <t>Consorcio:</t>
  </si>
  <si>
    <t>Ministerio de Transportes y Comunicaciones (MTC)</t>
  </si>
  <si>
    <t>Creado por:</t>
  </si>
  <si>
    <t>Marcelo Tapia (Jefe de Proyecto · Analista de Negocios)</t>
  </si>
  <si>
    <t>Ricardo Yanapa (Desarrollador)</t>
  </si>
  <si>
    <t>Cuadro Resumen de Contraste de Evaluación de Cumplimiento</t>
  </si>
  <si>
    <t>N°</t>
  </si>
  <si>
    <t>RF – CASO</t>
  </si>
  <si>
    <t>RF - CUMPLIDOS - EVIDENCIADO - PRODUCTO</t>
  </si>
  <si>
    <t>RNF – CASO</t>
  </si>
  <si>
    <t>RNF - CUMPLIDOS - EVIDENCIADO - PRODUCTO</t>
  </si>
  <si>
    <t>RF01 — Consultar catálogo público de estaciones  [Esencial]</t>
  </si>
  <si>
    <t>X</t>
  </si>
  <si>
    <t>RNF01 — La interfaz deberá ser web responsive y adaptarse a dispositivos móviles, con puntos de quiebre para teléfono, tableta y escritorio, sin desbordes horizontales desde 360 píxeles de ancho.</t>
  </si>
  <si>
    <t>RF02 — Consultar zonas turísticas por estación  [Esencial]</t>
  </si>
  <si>
    <t>RNF02 — El tiempo de respuesta de cada consulta deberá ser menor a 2 segundos en condiciones normales de operación.</t>
  </si>
  <si>
    <t>RF03 — Registrar preferencias turísticas  [Esencial]</t>
  </si>
  <si>
    <t>RNF03 — La previsión climática y los datos ferroviarios deberán actualizarse diariamente; la sincronización climática se ejecutará a las 05:00 hora de Lima, antes del primer servicio del día.</t>
  </si>
  <si>
    <t>RF04 — Seleccionar estación de partida  [Esencial]</t>
  </si>
  <si>
    <t>RNF04 — La interfaz deberá ser amigable y accesible: contraste suficiente, textos alternativos en las imágenes y navegación operable por teclado.</t>
  </si>
  <si>
    <t>RF05 — Listar alternativas compatibles  [Esencial]</t>
  </si>
  <si>
    <t>RNF05 — Las contraseñas deberán almacenarse cifradas con bcrypt y no exponerse fuera del backend; la sesión del panel se sostendrá con tokens JWT con expiración.</t>
  </si>
  <si>
    <t>RF06 — Calcular la ruta peatonal de ida y vuelta  [Esencial]</t>
  </si>
  <si>
    <t>RNF06 — La autorización por rol deberá verificarse siempre en el servidor; ocultar una opción del menú no se considerará una medida de seguridad.</t>
  </si>
  <si>
    <t>RF07 — Consultar el pronóstico climático  [Esencial]</t>
  </si>
  <si>
    <t>RNF07 — Toda entrada del usuario deberá validarse en el servidor antes de tocar la base de datos, con mensajes de error por campo.</t>
  </si>
  <si>
    <t>RF08 — Sincronizar automáticamente el clima  [Esencial]</t>
  </si>
  <si>
    <t>RNF08 — La base de datos deberá estar normalizada hasta la tercera forma normal sobre el motor InnoDB, con claves foráneas y sin ninguna operación de borrado físico.</t>
  </si>
  <si>
    <t>RF09 — Generar el informe turístico consolidado  [Esencial]</t>
  </si>
  <si>
    <t>RNF09 — Ante la indisponibilidad del proveedor externo de clima, el sistema deberá degradar de forma elegante y emitir el informe sin el bloque meteorológico, sin interrumpir el servicio.</t>
  </si>
  <si>
    <t>RF10 — Recuperar un informe por su código  [Esencial]</t>
  </si>
  <si>
    <t>RNF10 — El planificador deberá guiar al ciudadano en cuatro pasos con avance controlado, impidiendo el acceso a un paso sin haber completado el anterior.</t>
  </si>
  <si>
    <t>RF11 — Autenticar a los operadores del panel  [Esencial]</t>
  </si>
  <si>
    <t>RNF11 — El código deberá organizarse en capas —rutas, controladores, servicios, middlewares y utilidades— y la base de datos deberá aplicar una convención de prefijos por dominio.</t>
  </si>
  <si>
    <t>RF12 — Controlar el acceso por rol  [Esencial]</t>
  </si>
  <si>
    <t>RNF12 — La plataforma deberá operar en los navegadores modernos vigentes y desplegarse sobre Node.js 20 o superior y MySQL 8 o superior.</t>
  </si>
  <si>
    <t>RF13 — Administrar estaciones ferroviarias  [Esencial]</t>
  </si>
  <si>
    <t>RNF13 — Cada informe emitido deberá conservar un folio único e irrepetible y el detalle calculado en el momento de su emisión.</t>
  </si>
  <si>
    <t>RF14 — Administrar servicios, horarios y tarifas  [Esencial]</t>
  </si>
  <si>
    <t>RNF14 — El sistema deberá operar en español de Perú, con zona horaria America/Lima y montos expresados en soles (PEN).</t>
  </si>
  <si>
    <t>RF15 — Administrar zonas turísticas e hitos  [Esencial]</t>
  </si>
  <si>
    <t>RF16 — Consultar estaciones en solo lectura  [Esencial]</t>
  </si>
  <si>
    <t>RF17 — Publicar o retirar contenido público  [Esencial]</t>
  </si>
  <si>
    <t>RF18 — Dar de baja y reactivar lógicamente  [Esencial]</t>
  </si>
  <si>
    <t>RF19 — Validar los datos de entrada  [Esencial]</t>
  </si>
  <si>
    <t>RF20 — Cargar imágenes de estaciones y zonas  [Condicional]</t>
  </si>
  <si>
    <t>RF21 — Visualizar la ruta sobre un mapa  [Condicional]</t>
  </si>
  <si>
    <t>RF22 — Exportar el informe a PDF  [Opcional]</t>
  </si>
  <si>
    <t>Restricción para evaluación: RF EVI &gt; 50 %</t>
  </si>
  <si>
    <t>RF TOTAL</t>
  </si>
  <si>
    <t>RF EVI</t>
  </si>
  <si>
    <t>RNF TOTAL</t>
  </si>
  <si>
    <t>RNF EVI</t>
  </si>
  <si>
    <t xml:space="preserve">Adaptacion de </t>
  </si>
  <si>
    <t>ISO (Organización Internacional de Normalización)</t>
  </si>
  <si>
    <t>IEC (Comisión Electrotécnica Internacional)</t>
  </si>
  <si>
    <t xml:space="preserve">Instituto de Ingenieros Eléctricos y Electrónicos </t>
  </si>
  <si>
    <t>Se emplea el término 'Actualización' porque la norma IEEE 830 no desapareció conceptualmente, sino que evolucionó. El propio comité de la IEEE, junto con ISO, tomó la base de la 830 y la actualizó para crear la ISO/IEC/IEEE 29148, adaptándola a las necesidades de los sistemas complejos actuales. El proyecto RT-2026-001 refleja esa misma actualización metodológica sobre sus 22 requerimientos funcionales.</t>
  </si>
  <si>
    <t>Norma Base - IEEE - 830</t>
  </si>
  <si>
    <t>Actualizacion - ISO/IEC/IEEE 29148</t>
  </si>
  <si>
    <t>Recomendaciones prácticas para la especificacion de requerimientos</t>
  </si>
  <si>
    <t>El requerimiento ofrece a los stakeholders el valor de negocio esperado, diferencia el producto de otros del mercado o es necesario para adecuarse a una regulación externa. Ante la duda cabe preguntar: “¿qué sería lo peor de no incluirlo?”. Si no hay respuesta ni consecuencia, probablemente no sea necesario.</t>
  </si>
  <si>
    <t>Un requerimiento está completo si no necesita ampliar detalles en su redacción, es decir, si proporciona la información suficiente para su comprensión.</t>
  </si>
  <si>
    <t>Un requerimiento es consistente si no contradice a otro requerimiento. Un ejemplo de contradicción es que el sistema de permisos autorice a un usuario a hacer algo que no está en su tabla de acceso.</t>
  </si>
  <si>
    <t>Contiene una sola idea. El requerimiento provee una función o capacidad acorde con una necesidad de los stakeholders, evitando combinar varios requerimientos en un solo párrafo.</t>
  </si>
  <si>
    <t>El requerimiento está escrito con total claridad y precisión, de modo que posee una única interpretación posible para todos los lectores. No utiliza términos vagos ni subjetivos.</t>
  </si>
  <si>
    <t>Es posible implementar el requerimiento dentro de las capacidades y limitaciones del sistema y del proyecto: se conoce el framework de desarrollo y se cuenta con el tiempo y el presupuesto necesarios.</t>
  </si>
  <si>
    <t>Debe ser posible comprobarlo por inspección, análisis, prueba o demostración. Al escribirlo se deben determinar sus criterios de aceptación; si no se puede comprobar, no se sabe si se cumplió.</t>
  </si>
  <si>
    <t>Que se pueda realizar alguna modificación sobre el requerimiento y que esta sea sencilla, consistente y completa.</t>
  </si>
  <si>
    <t>La especificación se organiza de tal forma que cada función del sistema se pueda rastrear hasta su conjunto de requerimientos correspondiente. Facilita las pruebas y la validación del diseño.</t>
  </si>
  <si>
    <t>Procedemos igual con los demás criterios, teniendo en cuenta los reciprocos de cada calificación asignada:</t>
  </si>
  <si>
    <t>10 puntos: Valor reciproco de 0.1.</t>
  </si>
  <si>
    <t>5 puntos: Valor reciproco de 0.2.</t>
  </si>
  <si>
    <t>1 punto: Valor reciproco de 1 punto.</t>
  </si>
  <si>
    <t>0.2 puntos: Valor reciproco de 5 puntos.</t>
  </si>
  <si>
    <t>0.1 puntos: Valor reciproco de 10 puntos.</t>
  </si>
  <si>
    <t xml:space="preserve">La dinámica consiste en preguntarnos, si cada criterio de la fila es más o menos importante que el criterio de la columna. Recuerda que fila es a horizontal como columna es a vertical. </t>
  </si>
  <si>
    <t>10: El criterio de fila es mucho más importante que el criterio de columna.</t>
  </si>
  <si>
    <t>5: El criterio de fila es más importante que el criterio de columna.</t>
  </si>
  <si>
    <t>1: Ambos criterios son igual de importantes.</t>
  </si>
  <si>
    <t>0.2: El criterio de fila es menos importante que el criterio de columna.</t>
  </si>
  <si>
    <t>0.1: El criterio de fila es mucho menos importante que el criterio de columna.</t>
  </si>
  <si>
    <t>Instrucciones: para completar la matriz, compare el criterio de la fila (horizontal) con el criterio de la columna (vertical). En cada casilla pregúntese: ¿qué tan importante es el criterio de la fila respecto al criterio de la columna? Si es mucho más importante, coloque 10; si es más importante, 5; si ambos tienen el mismo peso, 1; si es menos importante, 0.2; y si es mucho menos importante, 0.1. La celda simétrica toma siempre el valor recíproco. Cada celda de la hoja EVA lleva un comentario emergente que recuerda el significado de la puntuación introducida.</t>
  </si>
  <si>
    <t>¿Qué es la Norma IEEE-830?</t>
  </si>
  <si>
    <t>¿Qué es la Norma ISO/IEC/IEEE 29148?</t>
  </si>
  <si>
    <t>Es un estándar internacional que define la forma correcta de redactar la Especificación de Requerimientos de Software (SRS). En lugar de escribir una lista de deseos, esta norma obliga a documentar cada detalle de forma que no existan dudas.</t>
  </si>
  <si>
    <t>Es el estándar internacional vigente que unifica y define los procesos para la Ingeniería de Requisitos en sistemas y software. En lugar de limitarse a una lista estática de deseos, esta norma establece una estructura modular obligatoria y una sintaxis formal que elimina por completo las ambigüedades técnicas.</t>
  </si>
  <si>
    <t>Característica</t>
  </si>
  <si>
    <t>Documentación Informal</t>
  </si>
  <si>
    <t>Norma IEEE-830</t>
  </si>
  <si>
    <t>Norma ISO/IEC/IEEE 29148</t>
  </si>
  <si>
    <t>Claridad</t>
  </si>
  <si>
    <t>Sujeta a interpretaciones erróneas.</t>
  </si>
  <si>
    <t>Cada requisito es único e inequívoco.</t>
  </si>
  <si>
    <t>Se exige la regla de Singularidad (una sola idea por párrafo) y uso mandatorio de sintaxis formal ("El sistema deberá...") para erradicar cualquier ambigüedad.</t>
  </si>
  <si>
    <t>Validación</t>
  </si>
  <si>
    <t>Difícil de probar si se cumplió.</t>
  </si>
  <si>
    <t>Cada requisito debe ser verificable con pruebas.</t>
  </si>
  <si>
    <t>Cada requisito incluye criterios de aceptación explícitos y trazabilidad bidireccional automatizada hacia los casos de prueba desde el inicio</t>
  </si>
  <si>
    <t>Organización</t>
  </si>
  <si>
    <t>Datos dispersos en notas o correos.</t>
  </si>
  <si>
    <t>Estructura jerárquica estandarizada.</t>
  </si>
  <si>
    <t>Arquitectura modular por niveles de abstracción (Negocio/Usuario/Sistema).</t>
  </si>
  <si>
    <t>Autoridad</t>
  </si>
  <si>
    <t>Difícil de auditar o aprobar.</t>
  </si>
  <si>
    <t>Permite una aprobación formal por el Analista de Negocio.</t>
  </si>
  <si>
    <t>Proceso iterativo de gobernanza con aprobación conjunta de múltiples Stakeholders (Negocio, Desarrollo y Aseguramiento de Calidad) regulado por contratos globales.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</si>
</sst>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1F497D"/>
      <name val="Calibri"/>
      <family val="2"/>
    </font>
    <font>
      <sz val="11"/>
      <color theme="1"/>
      <name val="Symbol"/>
      <family val="1"/>
      <charset val="2"/>
    </font>
    <font>
      <b/>
      <sz val="11"/>
      <name val="Calibri"/>
      <family val="2"/>
    </font>
    <font>
      <sz val="11"/>
      <name val="Arial"/>
      <family val="2"/>
    </font>
    <font>
      <i/>
      <sz val="11"/>
      <color rgb="FFFF000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"/>
      <name val="Calibri"/>
      <family val="2"/>
    </font>
    <font>
      <b/>
      <sz val="16"/>
      <color rgb="FF111317"/>
      <name val="Calibri"/>
    </font>
    <font>
      <sz val="10"/>
      <color rgb="FF9AA1AC"/>
      <name val="Calibri"/>
    </font>
    <font>
      <i/>
      <sz val="9"/>
      <color rgb="FF9AA1AC"/>
      <name val="Calibri"/>
    </font>
    <font>
      <b/>
      <sz val="13"/>
      <color rgb="FF111317"/>
      <name val="Calibri"/>
    </font>
    <font>
      <sz val="9"/>
      <color rgb="FF9AA1AC"/>
      <name val="Calibri"/>
    </font>
    <font>
      <b/>
      <sz val="9"/>
      <color rgb="FFFFFFFF"/>
      <name val="Calibri"/>
    </font>
    <font>
      <b/>
      <sz val="9.5"/>
      <color rgb="FFE30613"/>
      <name val="Calibri"/>
    </font>
    <font>
      <sz val="9.5"/>
      <color rgb="FF111317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11317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4E6EA"/>
      </left>
      <right style="thin">
        <color rgb="FFE4E6EA"/>
      </right>
      <top style="thin">
        <color rgb="FFE4E6EA"/>
      </top>
      <bottom style="thin">
        <color rgb="FFE4E6EA"/>
      </bottom>
      <diagonal/>
    </border>
  </borders>
  <cellStyleXfs count="2">
    <xf numFmtId="0" fontId="0" fillId="0" borderId="0"/>
    <xf numFmtId="9" fontId="11" fillId="0" borderId="0"/>
  </cellStyleXfs>
  <cellXfs count="157">
    <xf numFmtId="0" fontId="0" fillId="0" borderId="0" xfId="0"/>
    <xf numFmtId="0" fontId="3" fillId="3" borderId="4" xfId="0" applyFont="1" applyFill="1" applyBorder="1" applyAlignment="1">
      <alignment horizontal="justify" vertical="center"/>
    </xf>
    <xf numFmtId="0" fontId="3" fillId="5" borderId="4" xfId="0" applyFont="1" applyFill="1" applyBorder="1" applyAlignment="1">
      <alignment horizontal="justify" vertical="center" wrapText="1"/>
    </xf>
    <xf numFmtId="0" fontId="5" fillId="9" borderId="1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0" borderId="20" xfId="0" applyBorder="1"/>
    <xf numFmtId="0" fontId="13" fillId="10" borderId="20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vertical="center" wrapText="1"/>
    </xf>
    <xf numFmtId="0" fontId="15" fillId="11" borderId="2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5" fillId="12" borderId="20" xfId="0" applyFont="1" applyFill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0" fillId="0" borderId="20" xfId="0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7" fillId="0" borderId="23" xfId="0" applyFont="1" applyBorder="1" applyAlignment="1">
      <alignment horizontal="justify" vertical="center" wrapText="1"/>
    </xf>
    <xf numFmtId="0" fontId="0" fillId="0" borderId="23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8" fillId="0" borderId="13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0" fillId="0" borderId="13" xfId="0" applyBorder="1"/>
    <xf numFmtId="0" fontId="0" fillId="16" borderId="20" xfId="0" applyFill="1" applyBorder="1" applyAlignment="1">
      <alignment horizontal="center"/>
    </xf>
    <xf numFmtId="9" fontId="0" fillId="17" borderId="20" xfId="1" applyFont="1" applyFill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0" fillId="3" borderId="20" xfId="0" applyFill="1" applyBorder="1" applyAlignment="1">
      <alignment wrapText="1"/>
    </xf>
    <xf numFmtId="0" fontId="23" fillId="0" borderId="4" xfId="0" applyFont="1" applyBorder="1" applyAlignment="1">
      <alignment horizontal="justify" vertical="center" wrapText="1"/>
    </xf>
    <xf numFmtId="0" fontId="24" fillId="11" borderId="20" xfId="0" applyFont="1" applyFill="1" applyBorder="1" applyAlignment="1">
      <alignment vertical="center"/>
    </xf>
    <xf numFmtId="0" fontId="6" fillId="0" borderId="20" xfId="0" applyFont="1" applyBorder="1" applyAlignment="1">
      <alignment vertical="center" wrapText="1"/>
    </xf>
    <xf numFmtId="0" fontId="0" fillId="11" borderId="6" xfId="0" applyFill="1" applyBorder="1" applyAlignment="1">
      <alignment horizontal="center" vertical="center"/>
    </xf>
    <xf numFmtId="0" fontId="25" fillId="11" borderId="7" xfId="0" applyFont="1" applyFill="1" applyBorder="1" applyAlignment="1">
      <alignment vertical="center" wrapText="1"/>
    </xf>
    <xf numFmtId="0" fontId="16" fillId="15" borderId="6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6" fillId="15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left" wrapText="1"/>
    </xf>
    <xf numFmtId="0" fontId="6" fillId="0" borderId="26" xfId="0" applyFont="1" applyBorder="1" applyAlignment="1">
      <alignment vertical="center" wrapText="1"/>
    </xf>
    <xf numFmtId="0" fontId="16" fillId="12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19" fillId="12" borderId="0" xfId="0" applyFont="1" applyFill="1" applyAlignment="1">
      <alignment vertical="center" wrapText="1"/>
    </xf>
    <xf numFmtId="0" fontId="0" fillId="12" borderId="0" xfId="0" applyFill="1"/>
    <xf numFmtId="0" fontId="27" fillId="0" borderId="27" xfId="0" applyFont="1" applyBorder="1" applyAlignment="1">
      <alignment horizontal="left" vertical="center" wrapText="1" indent="1" readingOrder="1"/>
    </xf>
    <xf numFmtId="0" fontId="26" fillId="0" borderId="27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27" fillId="0" borderId="28" xfId="0" applyFont="1" applyBorder="1" applyAlignment="1">
      <alignment horizontal="left" vertical="center" wrapText="1" indent="1" readingOrder="1"/>
    </xf>
    <xf numFmtId="0" fontId="15" fillId="0" borderId="0" xfId="0" applyFont="1"/>
    <xf numFmtId="0" fontId="27" fillId="0" borderId="29" xfId="0" applyFont="1" applyBorder="1" applyAlignment="1">
      <alignment horizontal="left" vertical="center" wrapText="1" indent="1" readingOrder="1"/>
    </xf>
    <xf numFmtId="0" fontId="26" fillId="0" borderId="30" xfId="0" applyFont="1" applyBorder="1" applyAlignment="1">
      <alignment horizontal="left" vertical="center" wrapText="1" indent="1" readingOrder="1"/>
    </xf>
    <xf numFmtId="0" fontId="28" fillId="0" borderId="0" xfId="0" applyFont="1" applyAlignment="1">
      <alignment vertical="center"/>
    </xf>
    <xf numFmtId="0" fontId="12" fillId="16" borderId="23" xfId="0" applyFont="1" applyFill="1" applyBorder="1" applyAlignment="1">
      <alignment vertical="center"/>
    </xf>
    <xf numFmtId="0" fontId="15" fillId="16" borderId="1" xfId="0" applyFont="1" applyFill="1" applyBorder="1" applyAlignment="1">
      <alignment vertical="center" wrapText="1"/>
    </xf>
    <xf numFmtId="0" fontId="15" fillId="16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2" fillId="12" borderId="20" xfId="0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18" borderId="42" xfId="0" applyFont="1" applyFill="1" applyBorder="1" applyAlignment="1">
      <alignment horizontal="center" vertical="center"/>
    </xf>
    <xf numFmtId="0" fontId="37" fillId="0" borderId="42" xfId="0" applyFont="1" applyBorder="1"/>
    <xf numFmtId="0" fontId="38" fillId="0" borderId="42" xfId="0" applyFont="1" applyBorder="1" applyAlignment="1">
      <alignment horizontal="center"/>
    </xf>
    <xf numFmtId="165" fontId="38" fillId="0" borderId="42" xfId="0" applyNumberFormat="1" applyFont="1" applyBorder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20" fillId="0" borderId="5" xfId="0" applyFont="1" applyBorder="1" applyAlignment="1">
      <alignment horizontal="left" vertical="center" wrapText="1"/>
    </xf>
    <xf numFmtId="0" fontId="0" fillId="0" borderId="16" xfId="0" applyBorder="1"/>
    <xf numFmtId="0" fontId="5" fillId="9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2" xfId="0" applyBorder="1"/>
    <xf numFmtId="0" fontId="7" fillId="0" borderId="1" xfId="0" applyFont="1" applyBorder="1" applyAlignment="1">
      <alignment horizontal="left" vertical="center" wrapText="1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4" xfId="0" applyBorder="1"/>
    <xf numFmtId="0" fontId="17" fillId="0" borderId="1" xfId="0" applyFont="1" applyBorder="1" applyAlignment="1">
      <alignment horizontal="justify" vertical="center" wrapText="1"/>
    </xf>
    <xf numFmtId="0" fontId="0" fillId="0" borderId="23" xfId="0" applyBorder="1"/>
    <xf numFmtId="0" fontId="0" fillId="0" borderId="3" xfId="0" applyBorder="1"/>
    <xf numFmtId="0" fontId="0" fillId="0" borderId="1" xfId="0" applyBorder="1" applyAlignment="1">
      <alignment horizontal="justify" vertical="center" wrapText="1"/>
    </xf>
    <xf numFmtId="0" fontId="20" fillId="0" borderId="6" xfId="0" applyFont="1" applyBorder="1" applyAlignment="1">
      <alignment horizontal="left" vertical="center" wrapText="1"/>
    </xf>
    <xf numFmtId="0" fontId="0" fillId="0" borderId="18" xfId="0" applyBorder="1"/>
    <xf numFmtId="0" fontId="2" fillId="16" borderId="24" xfId="0" applyFont="1" applyFill="1" applyBorder="1" applyAlignment="1">
      <alignment horizontal="center"/>
    </xf>
    <xf numFmtId="0" fontId="0" fillId="0" borderId="0" xfId="0"/>
    <xf numFmtId="0" fontId="21" fillId="16" borderId="1" xfId="0" applyFont="1" applyFill="1" applyBorder="1" applyAlignment="1">
      <alignment horizontal="justify" vertical="center" wrapText="1"/>
    </xf>
    <xf numFmtId="0" fontId="17" fillId="0" borderId="1" xfId="0" applyFont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3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9" borderId="22" xfId="0" applyFont="1" applyFill="1" applyBorder="1" applyAlignment="1">
      <alignment horizontal="center" vertical="center"/>
    </xf>
    <xf numFmtId="0" fontId="0" fillId="0" borderId="25" xfId="0" applyBorder="1"/>
    <xf numFmtId="0" fontId="5" fillId="9" borderId="1" xfId="0" applyFont="1" applyFill="1" applyBorder="1" applyAlignment="1">
      <alignment horizontal="justify" vertical="center" wrapText="1"/>
    </xf>
    <xf numFmtId="0" fontId="20" fillId="0" borderId="8" xfId="0" applyFont="1" applyBorder="1" applyAlignment="1">
      <alignment horizontal="left" vertical="center" wrapText="1"/>
    </xf>
    <xf numFmtId="0" fontId="0" fillId="0" borderId="19" xfId="0" applyBorder="1"/>
    <xf numFmtId="0" fontId="5" fillId="9" borderId="22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0" fillId="0" borderId="17" xfId="0" applyBorder="1"/>
    <xf numFmtId="0" fontId="0" fillId="0" borderId="20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8" borderId="19" xfId="0" applyFill="1" applyBorder="1" applyAlignment="1">
      <alignment horizontal="left" vertical="center" wrapText="1"/>
    </xf>
    <xf numFmtId="0" fontId="0" fillId="0" borderId="33" xfId="0" applyBorder="1"/>
    <xf numFmtId="0" fontId="14" fillId="10" borderId="21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/>
    </xf>
    <xf numFmtId="0" fontId="0" fillId="0" borderId="10" xfId="0" applyBorder="1"/>
    <xf numFmtId="0" fontId="0" fillId="7" borderId="18" xfId="0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16" xfId="0" applyFont="1" applyFill="1" applyBorder="1" applyAlignment="1">
      <alignment horizontal="left" vertical="center" wrapText="1"/>
    </xf>
    <xf numFmtId="14" fontId="3" fillId="7" borderId="18" xfId="0" applyNumberFormat="1" applyFont="1" applyFill="1" applyBorder="1" applyAlignment="1">
      <alignment horizontal="left" vertical="center" wrapText="1"/>
    </xf>
    <xf numFmtId="0" fontId="0" fillId="8" borderId="18" xfId="0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left" vertical="center" wrapText="1"/>
    </xf>
    <xf numFmtId="0" fontId="0" fillId="0" borderId="40" xfId="0" applyBorder="1"/>
    <xf numFmtId="0" fontId="2" fillId="7" borderId="10" xfId="0" applyFont="1" applyFill="1" applyBorder="1" applyAlignment="1">
      <alignment horizontal="left" vertical="center" wrapText="1"/>
    </xf>
    <xf numFmtId="0" fontId="0" fillId="0" borderId="32" xfId="0" applyBorder="1"/>
    <xf numFmtId="0" fontId="0" fillId="0" borderId="20" xfId="0" applyBorder="1" applyAlignment="1">
      <alignment horizontal="left" wrapText="1"/>
    </xf>
    <xf numFmtId="0" fontId="0" fillId="0" borderId="24" xfId="0" applyBorder="1"/>
    <xf numFmtId="0" fontId="0" fillId="0" borderId="36" xfId="0" applyBorder="1"/>
    <xf numFmtId="0" fontId="15" fillId="16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15" fillId="0" borderId="31" xfId="0" applyFont="1" applyBorder="1" applyAlignment="1">
      <alignment horizontal="left" vertical="center" wrapText="1"/>
    </xf>
    <xf numFmtId="0" fontId="0" fillId="0" borderId="4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PE"/>
              <a:t>Distribución de Requerimientos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EVA!$B$240:$B$253</c:f>
              <c:strCache>
                <c:ptCount val="14"/>
                <c:pt idx="0">
                  <c:v>0.1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0.1</c:v>
                </c:pt>
                <c:pt idx="5">
                  <c:v>0.1</c:v>
                </c:pt>
                <c:pt idx="9">
                  <c:v>RF16: Consultar estaciones en solo lectura</c:v>
                </c:pt>
                <c:pt idx="12">
                  <c:v>Necesario</c:v>
                </c:pt>
                <c:pt idx="13">
                  <c:v>-</c:v>
                </c:pt>
              </c:strCache>
            </c:strRef>
          </c:cat>
          <c:val>
            <c:numRef>
              <c:f>EVA!$C$240:$C$253</c:f>
              <c:numCache>
                <c:formatCode>General</c:formatCode>
                <c:ptCount val="14"/>
                <c:pt idx="0">
                  <c:v>0.2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0.2</c:v>
                </c:pt>
                <c:pt idx="5">
                  <c:v>0.2</c:v>
                </c:pt>
                <c:pt idx="12">
                  <c:v>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1-40B9-9BA2-86CA8E0D16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390112336"/>
        <c:axId val="390114416"/>
      </c:barChart>
      <c:catAx>
        <c:axId val="39011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0114416"/>
        <c:crosses val="autoZero"/>
        <c:auto val="1"/>
        <c:lblAlgn val="ctr"/>
        <c:lblOffset val="100"/>
        <c:noMultiLvlLbl val="0"/>
      </c:catAx>
      <c:valAx>
        <c:axId val="3901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011233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criterio ganador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GRÁFICOS!$B$9</c:f>
              <c:strCache>
                <c:ptCount val="1"/>
                <c:pt idx="0">
                  <c:v>RF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30613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05-46AB-A974-18DAEE4FA49E}"/>
              </c:ext>
            </c:extLst>
          </c:dPt>
          <c:dPt>
            <c:idx val="1"/>
            <c:bubble3D val="0"/>
            <c:spPr>
              <a:solidFill>
                <a:srgbClr val="11131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05-46AB-A974-18DAEE4FA49E}"/>
              </c:ext>
            </c:extLst>
          </c:dPt>
          <c:dPt>
            <c:idx val="2"/>
            <c:bubble3D val="0"/>
            <c:spPr>
              <a:solidFill>
                <a:srgbClr val="9AA1AC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05-46AB-A974-18DAEE4FA49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GRÁFICOS!$A$10:$A$12</c:f>
              <c:strCache>
                <c:ptCount val="3"/>
                <c:pt idx="0">
                  <c:v>Necesario</c:v>
                </c:pt>
                <c:pt idx="1">
                  <c:v>No ambiguo</c:v>
                </c:pt>
                <c:pt idx="2">
                  <c:v>Completo</c:v>
                </c:pt>
              </c:strCache>
            </c:strRef>
          </c:cat>
          <c:val>
            <c:numRef>
              <c:f>GRÁFICOS!$B$10:$B$12</c:f>
              <c:numCache>
                <c:formatCode>General</c:formatCode>
                <c:ptCount val="3"/>
                <c:pt idx="0">
                  <c:v>11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05-46AB-A974-18DAEE4FA49E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prioridad IEEE 830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GRÁFICOS!$B$19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GRÁFICOS!$A$20:$A$22</c:f>
              <c:strCache>
                <c:ptCount val="3"/>
                <c:pt idx="0">
                  <c:v>Esencial</c:v>
                </c:pt>
                <c:pt idx="1">
                  <c:v>Condicional</c:v>
                </c:pt>
                <c:pt idx="2">
                  <c:v>Opcional</c:v>
                </c:pt>
              </c:strCache>
            </c:strRef>
          </c:cat>
          <c:val>
            <c:numRef>
              <c:f>GRÁFICOS!$B$20:$B$22</c:f>
              <c:numCache>
                <c:formatCode>General</c:formatCode>
                <c:ptCount val="3"/>
                <c:pt idx="0">
                  <c:v>19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E0-466C-A511-53C7FBB6AE4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N.º de requerimientos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módulo del sistema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GRÁFICOS!$B$29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GRÁFICOS!$A$30:$A$34</c:f>
              <c:strCache>
                <c:ptCount val="5"/>
                <c:pt idx="0">
                  <c:v>Cliente</c:v>
                </c:pt>
                <c:pt idx="1">
                  <c:v>Administración</c:v>
                </c:pt>
                <c:pt idx="2">
                  <c:v>Integración</c:v>
                </c:pt>
                <c:pt idx="3">
                  <c:v>Informes</c:v>
                </c:pt>
                <c:pt idx="4">
                  <c:v>Transversal</c:v>
                </c:pt>
              </c:strCache>
            </c:strRef>
          </c:cat>
          <c:val>
            <c:numRef>
              <c:f>GRÁFICOS!$B$30:$B$34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F0-4F38-B5EE-6ED40FBD61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Peso AHP del criterio ganador por RF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GRÁFICOS!$B$41</c:f>
              <c:strCache>
                <c:ptCount val="1"/>
                <c:pt idx="0">
                  <c:v>Peso AHP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cat>
            <c:strRef>
              <c:f>GRÁFICOS!$A$42:$A$63</c:f>
              <c:strCache>
                <c:ptCount val="22"/>
                <c:pt idx="0">
                  <c:v>RF01</c:v>
                </c:pt>
                <c:pt idx="1">
                  <c:v>RF02</c:v>
                </c:pt>
                <c:pt idx="2">
                  <c:v>RF03</c:v>
                </c:pt>
                <c:pt idx="3">
                  <c:v>RF04</c:v>
                </c:pt>
                <c:pt idx="4">
                  <c:v>RF05</c:v>
                </c:pt>
                <c:pt idx="5">
                  <c:v>RF06</c:v>
                </c:pt>
                <c:pt idx="6">
                  <c:v>RF07</c:v>
                </c:pt>
                <c:pt idx="7">
                  <c:v>RF08</c:v>
                </c:pt>
                <c:pt idx="8">
                  <c:v>RF09</c:v>
                </c:pt>
                <c:pt idx="9">
                  <c:v>RF10</c:v>
                </c:pt>
                <c:pt idx="10">
                  <c:v>RF11</c:v>
                </c:pt>
                <c:pt idx="11">
                  <c:v>RF12</c:v>
                </c:pt>
                <c:pt idx="12">
                  <c:v>RF13</c:v>
                </c:pt>
                <c:pt idx="13">
                  <c:v>RF14</c:v>
                </c:pt>
                <c:pt idx="14">
                  <c:v>RF15</c:v>
                </c:pt>
                <c:pt idx="15">
                  <c:v>RF16</c:v>
                </c:pt>
                <c:pt idx="16">
                  <c:v>RF17</c:v>
                </c:pt>
                <c:pt idx="17">
                  <c:v>RF18</c:v>
                </c:pt>
                <c:pt idx="18">
                  <c:v>RF19</c:v>
                </c:pt>
                <c:pt idx="19">
                  <c:v>RF20</c:v>
                </c:pt>
                <c:pt idx="20">
                  <c:v>RF21</c:v>
                </c:pt>
                <c:pt idx="21">
                  <c:v>RF22</c:v>
                </c:pt>
              </c:strCache>
            </c:strRef>
          </c:cat>
          <c:val>
            <c:numRef>
              <c:f>GRÁFICOS!$B$42:$B$63</c:f>
              <c:numCache>
                <c:formatCode>0.0%</c:formatCode>
                <c:ptCount val="22"/>
                <c:pt idx="0">
                  <c:v>0.34310667</c:v>
                </c:pt>
                <c:pt idx="1">
                  <c:v>0.34310667</c:v>
                </c:pt>
                <c:pt idx="2">
                  <c:v>0.34310667</c:v>
                </c:pt>
                <c:pt idx="3">
                  <c:v>0.34310667</c:v>
                </c:pt>
                <c:pt idx="4">
                  <c:v>0.34310667</c:v>
                </c:pt>
                <c:pt idx="5">
                  <c:v>0.25252524999999998</c:v>
                </c:pt>
                <c:pt idx="6">
                  <c:v>0.25252524999999998</c:v>
                </c:pt>
                <c:pt idx="7">
                  <c:v>0.25252524999999998</c:v>
                </c:pt>
                <c:pt idx="8">
                  <c:v>0.34310667</c:v>
                </c:pt>
                <c:pt idx="9">
                  <c:v>0.30607125000000002</c:v>
                </c:pt>
                <c:pt idx="10">
                  <c:v>0.30607125000000002</c:v>
                </c:pt>
                <c:pt idx="11">
                  <c:v>0.30607125000000002</c:v>
                </c:pt>
                <c:pt idx="12">
                  <c:v>0.34310667</c:v>
                </c:pt>
                <c:pt idx="13">
                  <c:v>0.34310667</c:v>
                </c:pt>
                <c:pt idx="14">
                  <c:v>0.34310667</c:v>
                </c:pt>
                <c:pt idx="15">
                  <c:v>0.34310667</c:v>
                </c:pt>
                <c:pt idx="16">
                  <c:v>0.34310667</c:v>
                </c:pt>
                <c:pt idx="17">
                  <c:v>0.30607125000000002</c:v>
                </c:pt>
                <c:pt idx="18">
                  <c:v>0.25252524999999998</c:v>
                </c:pt>
                <c:pt idx="19">
                  <c:v>0.30607125000000002</c:v>
                </c:pt>
                <c:pt idx="20">
                  <c:v>0.30607125000000002</c:v>
                </c:pt>
                <c:pt idx="21">
                  <c:v>0.30607125000000002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8A-4770-A989-C0F51EEC0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Peso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Peso ponderado por criterio y perfil de evaluación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GRÁFICOS!$B$69</c:f>
              <c:strCache>
                <c:ptCount val="1"/>
                <c:pt idx="0">
                  <c:v>Perfil A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GRÁFICOS!$B$70:$B$78</c:f>
              <c:numCache>
                <c:formatCode>0.0%</c:formatCode>
                <c:ptCount val="9"/>
                <c:pt idx="0">
                  <c:v>0.343107</c:v>
                </c:pt>
                <c:pt idx="1">
                  <c:v>0.11977500000000001</c:v>
                </c:pt>
                <c:pt idx="2">
                  <c:v>0.11977500000000001</c:v>
                </c:pt>
                <c:pt idx="3">
                  <c:v>1.9338999999999999E-2</c:v>
                </c:pt>
                <c:pt idx="4">
                  <c:v>0.11977500000000001</c:v>
                </c:pt>
                <c:pt idx="5">
                  <c:v>0.11977500000000001</c:v>
                </c:pt>
                <c:pt idx="6">
                  <c:v>0.11977500000000001</c:v>
                </c:pt>
                <c:pt idx="7">
                  <c:v>1.9338999999999999E-2</c:v>
                </c:pt>
                <c:pt idx="8">
                  <c:v>1.9338999999999999E-2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AD-4A70-BF70-078470764356}"/>
            </c:ext>
          </c:extLst>
        </c:ser>
        <c:ser>
          <c:idx val="1"/>
          <c:order val="1"/>
          <c:tx>
            <c:strRef>
              <c:f>GRÁFICOS!$C$69</c:f>
              <c:strCache>
                <c:ptCount val="1"/>
                <c:pt idx="0">
                  <c:v>Perfil B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GRÁFICOS!$C$70:$C$78</c:f>
              <c:numCache>
                <c:formatCode>0.0%</c:formatCode>
                <c:ptCount val="9"/>
                <c:pt idx="0">
                  <c:v>0.116162</c:v>
                </c:pt>
                <c:pt idx="1">
                  <c:v>0.116162</c:v>
                </c:pt>
                <c:pt idx="2">
                  <c:v>0.116162</c:v>
                </c:pt>
                <c:pt idx="3">
                  <c:v>2.0202000000000001E-2</c:v>
                </c:pt>
                <c:pt idx="4">
                  <c:v>0.252525</c:v>
                </c:pt>
                <c:pt idx="5">
                  <c:v>0.116162</c:v>
                </c:pt>
                <c:pt idx="6">
                  <c:v>0.222222</c:v>
                </c:pt>
                <c:pt idx="7">
                  <c:v>2.0202000000000001E-2</c:v>
                </c:pt>
                <c:pt idx="8">
                  <c:v>2.0202000000000001E-2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AD-4A70-BF70-078470764356}"/>
            </c:ext>
          </c:extLst>
        </c:ser>
        <c:ser>
          <c:idx val="2"/>
          <c:order val="2"/>
          <c:tx>
            <c:strRef>
              <c:f>GRÁFICOS!$D$69</c:f>
              <c:strCache>
                <c:ptCount val="1"/>
                <c:pt idx="0">
                  <c:v>Perfil C</c:v>
                </c:pt>
              </c:strCache>
            </c:strRef>
          </c:tx>
          <c:spPr>
            <a:solidFill>
              <a:srgbClr val="9AA1AC"/>
            </a:solidFill>
            <a:ln>
              <a:solidFill>
                <a:srgbClr val="9AA1AC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GRÁFICOS!$D$70:$D$78</c:f>
              <c:numCache>
                <c:formatCode>0.0%</c:formatCode>
                <c:ptCount val="9"/>
                <c:pt idx="0">
                  <c:v>1.9067000000000001E-2</c:v>
                </c:pt>
                <c:pt idx="1">
                  <c:v>0.30607099999999998</c:v>
                </c:pt>
                <c:pt idx="2">
                  <c:v>0.11239300000000001</c:v>
                </c:pt>
                <c:pt idx="3">
                  <c:v>1.9067000000000001E-2</c:v>
                </c:pt>
                <c:pt idx="4">
                  <c:v>0.11239300000000001</c:v>
                </c:pt>
                <c:pt idx="5">
                  <c:v>0.28098299999999998</c:v>
                </c:pt>
                <c:pt idx="6">
                  <c:v>0.11189200000000001</c:v>
                </c:pt>
                <c:pt idx="7">
                  <c:v>1.9067000000000001E-2</c:v>
                </c:pt>
                <c:pt idx="8">
                  <c:v>1.9067000000000001E-2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AA1A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AD-4A70-BF70-07847076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Peso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Cobertura de requerimientos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GRÁFICOS!$B$97</c:f>
              <c:strCache>
                <c:ptCount val="1"/>
                <c:pt idx="0">
                  <c:v>Especificados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GRÁFICOS!$A$98:$A$99</c:f>
              <c:strCache>
                <c:ptCount val="2"/>
                <c:pt idx="0">
                  <c:v>Funcionales (RF)</c:v>
                </c:pt>
                <c:pt idx="1">
                  <c:v>No funcionales (RNF)</c:v>
                </c:pt>
              </c:strCache>
            </c:strRef>
          </c:cat>
          <c:val>
            <c:numRef>
              <c:f>GRÁFICOS!$B$98:$B$99</c:f>
              <c:numCache>
                <c:formatCode>General</c:formatCode>
                <c:ptCount val="2"/>
                <c:pt idx="0">
                  <c:v>22</c:v>
                </c:pt>
                <c:pt idx="1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A3-4B6D-990A-A847799DF2B5}"/>
            </c:ext>
          </c:extLst>
        </c:ser>
        <c:ser>
          <c:idx val="1"/>
          <c:order val="1"/>
          <c:tx>
            <c:strRef>
              <c:f>GRÁFICOS!$C$97</c:f>
              <c:strCache>
                <c:ptCount val="1"/>
                <c:pt idx="0">
                  <c:v>Evidenciados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GRÁFICOS!$A$98:$A$99</c:f>
              <c:strCache>
                <c:ptCount val="2"/>
                <c:pt idx="0">
                  <c:v>Funcionales (RF)</c:v>
                </c:pt>
                <c:pt idx="1">
                  <c:v>No funcionales (RNF)</c:v>
                </c:pt>
              </c:strCache>
            </c:strRef>
          </c:cat>
          <c:val>
            <c:numRef>
              <c:f>GRÁFICOS!$C$98:$C$99</c:f>
              <c:numCache>
                <c:formatCode>General</c:formatCode>
                <c:ptCount val="2"/>
                <c:pt idx="0">
                  <c:v>22</c:v>
                </c:pt>
                <c:pt idx="1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A3-4B6D-990A-A847799DF2B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7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N.º de requerimientos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1084550</xdr:colOff>
      <xdr:row>234</xdr:row>
      <xdr:rowOff>164954</xdr:rowOff>
    </xdr:from>
    <xdr:to>
      <xdr:col>10</xdr:col>
      <xdr:colOff>226595</xdr:colOff>
      <xdr:row>272</xdr:row>
      <xdr:rowOff>151533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5</xdr:row>
      <xdr:rowOff>95250</xdr:rowOff>
    </xdr:from>
    <xdr:ext cx="3960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3960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685800</xdr:colOff>
      <xdr:row>21</xdr:row>
      <xdr:rowOff>104775</xdr:rowOff>
    </xdr:from>
    <xdr:ext cx="3960000" cy="280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37</xdr:row>
      <xdr:rowOff>0</xdr:rowOff>
    </xdr:from>
    <xdr:ext cx="7920000" cy="302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65</xdr:row>
      <xdr:rowOff>0</xdr:rowOff>
    </xdr:from>
    <xdr:ext cx="7920000" cy="309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93</xdr:row>
      <xdr:rowOff>0</xdr:rowOff>
    </xdr:from>
    <xdr:ext cx="4680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385"/>
  <sheetViews>
    <sheetView tabSelected="1" topLeftCell="A359" zoomScale="85" zoomScaleNormal="85" workbookViewId="0">
      <selection activeCell="T385" sqref="T385"/>
    </sheetView>
  </sheetViews>
  <sheetFormatPr baseColWidth="10" defaultRowHeight="15" x14ac:dyDescent="0.25"/>
  <cols>
    <col min="1" max="1" width="28.28515625" customWidth="1"/>
    <col min="2" max="2" width="17.85546875" customWidth="1"/>
    <col min="3" max="3" width="20.7109375" customWidth="1"/>
    <col min="4" max="4" width="22" customWidth="1"/>
    <col min="5" max="5" width="16" customWidth="1"/>
    <col min="6" max="6" width="20" customWidth="1"/>
    <col min="7" max="10" width="16" customWidth="1"/>
    <col min="11" max="11" width="17.42578125" customWidth="1"/>
    <col min="12" max="12" width="15.140625" customWidth="1"/>
  </cols>
  <sheetData>
    <row r="1" spans="1:12" ht="15.75" customHeight="1" thickBot="1" x14ac:dyDescent="0.3"/>
    <row r="2" spans="1:12" x14ac:dyDescent="0.25">
      <c r="A2" s="141" t="s">
        <v>109</v>
      </c>
      <c r="B2" s="94"/>
      <c r="C2" s="142" t="s">
        <v>4</v>
      </c>
      <c r="D2" s="94"/>
    </row>
    <row r="3" spans="1:12" x14ac:dyDescent="0.25">
      <c r="A3" s="134" t="s">
        <v>1</v>
      </c>
      <c r="B3" s="109"/>
      <c r="C3" s="136" t="s">
        <v>110</v>
      </c>
      <c r="D3" s="137"/>
    </row>
    <row r="4" spans="1:12" x14ac:dyDescent="0.25">
      <c r="A4" s="135" t="s">
        <v>111</v>
      </c>
      <c r="B4" s="109"/>
      <c r="C4" s="140" t="s">
        <v>112</v>
      </c>
      <c r="D4" s="109"/>
    </row>
    <row r="5" spans="1:12" x14ac:dyDescent="0.25">
      <c r="A5" s="134" t="s">
        <v>113</v>
      </c>
      <c r="B5" s="109"/>
      <c r="C5" s="138" t="s">
        <v>114</v>
      </c>
      <c r="D5" s="109"/>
    </row>
    <row r="6" spans="1:12" ht="15.75" customHeight="1" thickBot="1" x14ac:dyDescent="0.3">
      <c r="A6" s="139" t="s">
        <v>115</v>
      </c>
      <c r="B6" s="121"/>
      <c r="C6" s="131" t="s">
        <v>116</v>
      </c>
      <c r="D6" s="121"/>
    </row>
    <row r="9" spans="1:12" x14ac:dyDescent="0.25">
      <c r="A9" s="125" t="s">
        <v>117</v>
      </c>
      <c r="B9" s="125" t="s">
        <v>118</v>
      </c>
      <c r="C9" s="126"/>
      <c r="D9" s="127"/>
    </row>
    <row r="10" spans="1:12" x14ac:dyDescent="0.25">
      <c r="A10" s="132"/>
      <c r="B10" s="128"/>
      <c r="C10" s="129"/>
      <c r="D10" s="130"/>
    </row>
    <row r="11" spans="1:12" x14ac:dyDescent="0.25">
      <c r="A11" s="123" t="s">
        <v>119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09"/>
    </row>
    <row r="12" spans="1:12" ht="38.25" customHeight="1" x14ac:dyDescent="0.25">
      <c r="A12" s="14"/>
      <c r="B12" s="15" t="s">
        <v>120</v>
      </c>
      <c r="C12" s="15" t="s">
        <v>121</v>
      </c>
      <c r="D12" s="15" t="s">
        <v>122</v>
      </c>
      <c r="E12" s="15" t="s">
        <v>123</v>
      </c>
      <c r="F12" s="15" t="s">
        <v>124</v>
      </c>
      <c r="G12" s="15" t="s">
        <v>125</v>
      </c>
      <c r="H12" s="15" t="s">
        <v>126</v>
      </c>
      <c r="I12" s="15" t="s">
        <v>127</v>
      </c>
      <c r="J12" s="15" t="s">
        <v>128</v>
      </c>
      <c r="K12" s="15" t="s">
        <v>129</v>
      </c>
      <c r="L12" s="15" t="s">
        <v>130</v>
      </c>
    </row>
    <row r="13" spans="1:12" x14ac:dyDescent="0.25">
      <c r="A13" s="16" t="s">
        <v>120</v>
      </c>
      <c r="B13" s="17" t="s">
        <v>131</v>
      </c>
      <c r="C13" s="22">
        <v>5</v>
      </c>
      <c r="D13" s="22">
        <v>5</v>
      </c>
      <c r="E13" s="22">
        <v>10</v>
      </c>
      <c r="F13" s="22">
        <v>5</v>
      </c>
      <c r="G13" s="22">
        <v>5</v>
      </c>
      <c r="H13" s="22">
        <v>5</v>
      </c>
      <c r="I13" s="22">
        <v>10</v>
      </c>
      <c r="J13" s="22">
        <v>10</v>
      </c>
      <c r="K13" s="19">
        <f t="shared" ref="K13:K21" si="0">SUM(B13:J13)</f>
        <v>55</v>
      </c>
      <c r="L13" s="20">
        <f t="shared" ref="L13:L21" si="1">K13/$K$22</f>
        <v>0.34310667498440428</v>
      </c>
    </row>
    <row r="14" spans="1:12" x14ac:dyDescent="0.25">
      <c r="A14" s="16" t="s">
        <v>121</v>
      </c>
      <c r="B14" s="22">
        <v>0.2</v>
      </c>
      <c r="C14" s="17" t="s">
        <v>131</v>
      </c>
      <c r="D14" s="18">
        <v>1</v>
      </c>
      <c r="E14" s="18">
        <v>5</v>
      </c>
      <c r="F14" s="18">
        <v>1</v>
      </c>
      <c r="G14" s="18">
        <v>1</v>
      </c>
      <c r="H14" s="18">
        <v>1</v>
      </c>
      <c r="I14" s="18">
        <v>5</v>
      </c>
      <c r="J14" s="18">
        <v>5</v>
      </c>
      <c r="K14" s="19">
        <f t="shared" si="0"/>
        <v>19.2</v>
      </c>
      <c r="L14" s="20">
        <f t="shared" si="1"/>
        <v>0.11977542108546477</v>
      </c>
    </row>
    <row r="15" spans="1:12" x14ac:dyDescent="0.25">
      <c r="A15" s="16" t="s">
        <v>122</v>
      </c>
      <c r="B15" s="22">
        <v>0.2</v>
      </c>
      <c r="C15" s="18">
        <v>1</v>
      </c>
      <c r="D15" s="17" t="s">
        <v>131</v>
      </c>
      <c r="E15" s="18">
        <v>5</v>
      </c>
      <c r="F15" s="18">
        <v>1</v>
      </c>
      <c r="G15" s="18">
        <v>1</v>
      </c>
      <c r="H15" s="18">
        <v>1</v>
      </c>
      <c r="I15" s="18">
        <v>5</v>
      </c>
      <c r="J15" s="18">
        <v>5</v>
      </c>
      <c r="K15" s="19">
        <f t="shared" si="0"/>
        <v>19.2</v>
      </c>
      <c r="L15" s="20">
        <f t="shared" si="1"/>
        <v>0.11977542108546477</v>
      </c>
    </row>
    <row r="16" spans="1:12" x14ac:dyDescent="0.25">
      <c r="A16" s="16" t="s">
        <v>123</v>
      </c>
      <c r="B16" s="22">
        <v>0.1</v>
      </c>
      <c r="C16" s="18">
        <v>0.2</v>
      </c>
      <c r="D16" s="18">
        <v>0.2</v>
      </c>
      <c r="E16" s="17" t="s">
        <v>131</v>
      </c>
      <c r="F16" s="18">
        <v>0.2</v>
      </c>
      <c r="G16" s="18">
        <v>0.2</v>
      </c>
      <c r="H16" s="18">
        <v>0.2</v>
      </c>
      <c r="I16" s="18">
        <v>1</v>
      </c>
      <c r="J16" s="22">
        <v>1</v>
      </c>
      <c r="K16" s="19">
        <f t="shared" si="0"/>
        <v>3.0999999999999996</v>
      </c>
      <c r="L16" s="20">
        <f t="shared" si="1"/>
        <v>1.9338739862757331E-2</v>
      </c>
    </row>
    <row r="17" spans="1:12" x14ac:dyDescent="0.25">
      <c r="A17" s="16" t="s">
        <v>124</v>
      </c>
      <c r="B17" s="22">
        <v>0.2</v>
      </c>
      <c r="C17" s="45">
        <v>1</v>
      </c>
      <c r="D17" s="18">
        <v>1</v>
      </c>
      <c r="E17" s="18">
        <v>5</v>
      </c>
      <c r="F17" s="17" t="s">
        <v>131</v>
      </c>
      <c r="G17" s="18">
        <v>1</v>
      </c>
      <c r="H17" s="18">
        <v>1</v>
      </c>
      <c r="I17" s="18">
        <v>5</v>
      </c>
      <c r="J17" s="22">
        <v>5</v>
      </c>
      <c r="K17" s="19">
        <f t="shared" si="0"/>
        <v>19.2</v>
      </c>
      <c r="L17" s="20">
        <f t="shared" si="1"/>
        <v>0.11977542108546477</v>
      </c>
    </row>
    <row r="18" spans="1:12" x14ac:dyDescent="0.25">
      <c r="A18" s="16" t="s">
        <v>125</v>
      </c>
      <c r="B18" s="22">
        <v>0.2</v>
      </c>
      <c r="C18" s="18">
        <v>1</v>
      </c>
      <c r="D18" s="18">
        <v>1</v>
      </c>
      <c r="E18" s="18">
        <v>5</v>
      </c>
      <c r="F18" s="18">
        <v>1</v>
      </c>
      <c r="G18" s="17" t="s">
        <v>131</v>
      </c>
      <c r="H18" s="22">
        <v>1</v>
      </c>
      <c r="I18" s="22">
        <v>5</v>
      </c>
      <c r="J18" s="22">
        <v>5</v>
      </c>
      <c r="K18" s="19">
        <f t="shared" si="0"/>
        <v>19.2</v>
      </c>
      <c r="L18" s="20">
        <f t="shared" si="1"/>
        <v>0.11977542108546477</v>
      </c>
    </row>
    <row r="19" spans="1:12" x14ac:dyDescent="0.25">
      <c r="A19" s="16" t="s">
        <v>126</v>
      </c>
      <c r="B19" s="22">
        <v>0.2</v>
      </c>
      <c r="C19" s="18">
        <v>1</v>
      </c>
      <c r="D19" s="18">
        <v>1</v>
      </c>
      <c r="E19" s="18">
        <v>5</v>
      </c>
      <c r="F19" s="18">
        <v>1</v>
      </c>
      <c r="G19" s="22">
        <v>1</v>
      </c>
      <c r="H19" s="17" t="s">
        <v>131</v>
      </c>
      <c r="I19" s="22">
        <v>5</v>
      </c>
      <c r="J19" s="22">
        <v>5</v>
      </c>
      <c r="K19" s="19">
        <f t="shared" si="0"/>
        <v>19.2</v>
      </c>
      <c r="L19" s="20">
        <f t="shared" si="1"/>
        <v>0.11977542108546477</v>
      </c>
    </row>
    <row r="20" spans="1:12" x14ac:dyDescent="0.25">
      <c r="A20" s="16" t="s">
        <v>127</v>
      </c>
      <c r="B20" s="22">
        <v>0.1</v>
      </c>
      <c r="C20" s="18">
        <v>0.2</v>
      </c>
      <c r="D20" s="18">
        <v>0.2</v>
      </c>
      <c r="E20" s="18">
        <v>1</v>
      </c>
      <c r="F20" s="18">
        <v>0.2</v>
      </c>
      <c r="G20" s="22">
        <v>0.2</v>
      </c>
      <c r="H20" s="22">
        <v>0.2</v>
      </c>
      <c r="I20" s="17" t="s">
        <v>131</v>
      </c>
      <c r="J20" s="22">
        <v>1</v>
      </c>
      <c r="K20" s="19">
        <f t="shared" si="0"/>
        <v>3.1</v>
      </c>
      <c r="L20" s="20">
        <f t="shared" si="1"/>
        <v>1.9338739862757331E-2</v>
      </c>
    </row>
    <row r="21" spans="1:12" x14ac:dyDescent="0.25">
      <c r="A21" s="16" t="s">
        <v>128</v>
      </c>
      <c r="B21" s="75">
        <v>0.1</v>
      </c>
      <c r="C21" s="45">
        <v>0.2</v>
      </c>
      <c r="D21" s="18">
        <v>0.2</v>
      </c>
      <c r="E21" s="22">
        <v>1</v>
      </c>
      <c r="F21" s="22">
        <v>0.2</v>
      </c>
      <c r="G21" s="22">
        <v>0.2</v>
      </c>
      <c r="H21" s="22">
        <v>0.2</v>
      </c>
      <c r="I21" s="22">
        <v>1</v>
      </c>
      <c r="J21" s="17" t="s">
        <v>131</v>
      </c>
      <c r="K21" s="19">
        <f t="shared" si="0"/>
        <v>3.1</v>
      </c>
      <c r="L21" s="20">
        <f t="shared" si="1"/>
        <v>1.9338739862757331E-2</v>
      </c>
    </row>
    <row r="22" spans="1:12" x14ac:dyDescent="0.25">
      <c r="A22" s="133" t="s">
        <v>129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8">
        <f>SUM(K13:K21)</f>
        <v>160.29999999999998</v>
      </c>
      <c r="L22" s="21">
        <f>SUM(L13:L21)</f>
        <v>1.0000000000000002</v>
      </c>
    </row>
    <row r="25" spans="1:12" x14ac:dyDescent="0.25">
      <c r="A25" s="125" t="s">
        <v>117</v>
      </c>
      <c r="B25" s="125" t="s">
        <v>132</v>
      </c>
      <c r="C25" s="126"/>
      <c r="D25" s="127"/>
    </row>
    <row r="26" spans="1:12" x14ac:dyDescent="0.25">
      <c r="A26" s="132"/>
      <c r="B26" s="128"/>
      <c r="C26" s="129"/>
      <c r="D26" s="130"/>
    </row>
    <row r="27" spans="1:12" x14ac:dyDescent="0.25">
      <c r="A27" s="123" t="s">
        <v>119</v>
      </c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09"/>
    </row>
    <row r="28" spans="1:12" ht="38.25" customHeight="1" x14ac:dyDescent="0.25">
      <c r="A28" s="14"/>
      <c r="B28" s="15" t="s">
        <v>120</v>
      </c>
      <c r="C28" s="15" t="s">
        <v>121</v>
      </c>
      <c r="D28" s="15" t="s">
        <v>122</v>
      </c>
      <c r="E28" s="15" t="s">
        <v>123</v>
      </c>
      <c r="F28" s="15" t="s">
        <v>124</v>
      </c>
      <c r="G28" s="15" t="s">
        <v>125</v>
      </c>
      <c r="H28" s="15" t="s">
        <v>126</v>
      </c>
      <c r="I28" s="15" t="s">
        <v>127</v>
      </c>
      <c r="J28" s="15" t="s">
        <v>128</v>
      </c>
      <c r="K28" s="15" t="s">
        <v>129</v>
      </c>
      <c r="L28" s="15" t="s">
        <v>130</v>
      </c>
    </row>
    <row r="29" spans="1:12" x14ac:dyDescent="0.25">
      <c r="A29" s="16" t="s">
        <v>120</v>
      </c>
      <c r="B29" s="17" t="s">
        <v>131</v>
      </c>
      <c r="C29" s="22">
        <v>5</v>
      </c>
      <c r="D29" s="22">
        <v>5</v>
      </c>
      <c r="E29" s="22">
        <v>10</v>
      </c>
      <c r="F29" s="22">
        <v>5</v>
      </c>
      <c r="G29" s="22">
        <v>5</v>
      </c>
      <c r="H29" s="22">
        <v>5</v>
      </c>
      <c r="I29" s="22">
        <v>10</v>
      </c>
      <c r="J29" s="22">
        <v>10</v>
      </c>
      <c r="K29" s="19">
        <f t="shared" ref="K29:K37" si="2">SUM(B29:J29)</f>
        <v>55</v>
      </c>
      <c r="L29" s="20">
        <f t="shared" ref="L29:L37" si="3">K29/$K$38</f>
        <v>0.34310667498440428</v>
      </c>
    </row>
    <row r="30" spans="1:12" x14ac:dyDescent="0.25">
      <c r="A30" s="16" t="s">
        <v>121</v>
      </c>
      <c r="B30" s="22">
        <v>0.2</v>
      </c>
      <c r="C30" s="17" t="s">
        <v>131</v>
      </c>
      <c r="D30" s="18">
        <v>1</v>
      </c>
      <c r="E30" s="18">
        <v>5</v>
      </c>
      <c r="F30" s="18">
        <v>1</v>
      </c>
      <c r="G30" s="18">
        <v>1</v>
      </c>
      <c r="H30" s="18">
        <v>1</v>
      </c>
      <c r="I30" s="18">
        <v>5</v>
      </c>
      <c r="J30" s="18">
        <v>5</v>
      </c>
      <c r="K30" s="19">
        <f t="shared" si="2"/>
        <v>19.2</v>
      </c>
      <c r="L30" s="20">
        <f t="shared" si="3"/>
        <v>0.11977542108546477</v>
      </c>
    </row>
    <row r="31" spans="1:12" x14ac:dyDescent="0.25">
      <c r="A31" s="16" t="s">
        <v>122</v>
      </c>
      <c r="B31" s="22">
        <v>0.2</v>
      </c>
      <c r="C31" s="18">
        <v>1</v>
      </c>
      <c r="D31" s="17" t="s">
        <v>131</v>
      </c>
      <c r="E31" s="18">
        <v>5</v>
      </c>
      <c r="F31" s="18">
        <v>1</v>
      </c>
      <c r="G31" s="18">
        <v>1</v>
      </c>
      <c r="H31" s="18">
        <v>1</v>
      </c>
      <c r="I31" s="18">
        <v>5</v>
      </c>
      <c r="J31" s="18">
        <v>5</v>
      </c>
      <c r="K31" s="19">
        <f t="shared" si="2"/>
        <v>19.2</v>
      </c>
      <c r="L31" s="20">
        <f t="shared" si="3"/>
        <v>0.11977542108546477</v>
      </c>
    </row>
    <row r="32" spans="1:12" x14ac:dyDescent="0.25">
      <c r="A32" s="16" t="s">
        <v>123</v>
      </c>
      <c r="B32" s="22">
        <v>0.1</v>
      </c>
      <c r="C32" s="18">
        <v>0.2</v>
      </c>
      <c r="D32" s="18">
        <v>0.2</v>
      </c>
      <c r="E32" s="17" t="s">
        <v>131</v>
      </c>
      <c r="F32" s="18">
        <v>0.2</v>
      </c>
      <c r="G32" s="18">
        <v>0.2</v>
      </c>
      <c r="H32" s="18">
        <v>0.2</v>
      </c>
      <c r="I32" s="18">
        <v>1</v>
      </c>
      <c r="J32" s="22">
        <v>1</v>
      </c>
      <c r="K32" s="19">
        <f t="shared" si="2"/>
        <v>3.0999999999999996</v>
      </c>
      <c r="L32" s="20">
        <f t="shared" si="3"/>
        <v>1.9338739862757331E-2</v>
      </c>
    </row>
    <row r="33" spans="1:12" x14ac:dyDescent="0.25">
      <c r="A33" s="16" t="s">
        <v>124</v>
      </c>
      <c r="B33" s="22">
        <v>0.2</v>
      </c>
      <c r="C33" s="45">
        <v>1</v>
      </c>
      <c r="D33" s="18">
        <v>1</v>
      </c>
      <c r="E33" s="18">
        <v>5</v>
      </c>
      <c r="F33" s="17" t="s">
        <v>131</v>
      </c>
      <c r="G33" s="18">
        <v>1</v>
      </c>
      <c r="H33" s="18">
        <v>1</v>
      </c>
      <c r="I33" s="18">
        <v>5</v>
      </c>
      <c r="J33" s="22">
        <v>5</v>
      </c>
      <c r="K33" s="19">
        <f t="shared" si="2"/>
        <v>19.2</v>
      </c>
      <c r="L33" s="20">
        <f t="shared" si="3"/>
        <v>0.11977542108546477</v>
      </c>
    </row>
    <row r="34" spans="1:12" x14ac:dyDescent="0.25">
      <c r="A34" s="16" t="s">
        <v>125</v>
      </c>
      <c r="B34" s="22">
        <v>0.2</v>
      </c>
      <c r="C34" s="18">
        <v>1</v>
      </c>
      <c r="D34" s="18">
        <v>1</v>
      </c>
      <c r="E34" s="18">
        <v>5</v>
      </c>
      <c r="F34" s="18">
        <v>1</v>
      </c>
      <c r="G34" s="17" t="s">
        <v>131</v>
      </c>
      <c r="H34" s="22">
        <v>1</v>
      </c>
      <c r="I34" s="22">
        <v>5</v>
      </c>
      <c r="J34" s="22">
        <v>5</v>
      </c>
      <c r="K34" s="19">
        <f t="shared" si="2"/>
        <v>19.2</v>
      </c>
      <c r="L34" s="20">
        <f t="shared" si="3"/>
        <v>0.11977542108546477</v>
      </c>
    </row>
    <row r="35" spans="1:12" x14ac:dyDescent="0.25">
      <c r="A35" s="16" t="s">
        <v>126</v>
      </c>
      <c r="B35" s="22">
        <v>0.2</v>
      </c>
      <c r="C35" s="18">
        <v>1</v>
      </c>
      <c r="D35" s="18">
        <v>1</v>
      </c>
      <c r="E35" s="18">
        <v>5</v>
      </c>
      <c r="F35" s="18">
        <v>1</v>
      </c>
      <c r="G35" s="22">
        <v>1</v>
      </c>
      <c r="H35" s="17" t="s">
        <v>131</v>
      </c>
      <c r="I35" s="22">
        <v>5</v>
      </c>
      <c r="J35" s="22">
        <v>5</v>
      </c>
      <c r="K35" s="19">
        <f t="shared" si="2"/>
        <v>19.2</v>
      </c>
      <c r="L35" s="20">
        <f t="shared" si="3"/>
        <v>0.11977542108546477</v>
      </c>
    </row>
    <row r="36" spans="1:12" x14ac:dyDescent="0.25">
      <c r="A36" s="16" t="s">
        <v>127</v>
      </c>
      <c r="B36" s="22">
        <v>0.1</v>
      </c>
      <c r="C36" s="18">
        <v>0.2</v>
      </c>
      <c r="D36" s="18">
        <v>0.2</v>
      </c>
      <c r="E36" s="18">
        <v>1</v>
      </c>
      <c r="F36" s="18">
        <v>0.2</v>
      </c>
      <c r="G36" s="22">
        <v>0.2</v>
      </c>
      <c r="H36" s="22">
        <v>0.2</v>
      </c>
      <c r="I36" s="17" t="s">
        <v>131</v>
      </c>
      <c r="J36" s="22">
        <v>1</v>
      </c>
      <c r="K36" s="19">
        <f t="shared" si="2"/>
        <v>3.1</v>
      </c>
      <c r="L36" s="20">
        <f t="shared" si="3"/>
        <v>1.9338739862757331E-2</v>
      </c>
    </row>
    <row r="37" spans="1:12" x14ac:dyDescent="0.25">
      <c r="A37" s="16" t="s">
        <v>128</v>
      </c>
      <c r="B37" s="75">
        <v>0.1</v>
      </c>
      <c r="C37" s="45">
        <v>0.2</v>
      </c>
      <c r="D37" s="18">
        <v>0.2</v>
      </c>
      <c r="E37" s="22">
        <v>1</v>
      </c>
      <c r="F37" s="22">
        <v>0.2</v>
      </c>
      <c r="G37" s="22">
        <v>0.2</v>
      </c>
      <c r="H37" s="22">
        <v>0.2</v>
      </c>
      <c r="I37" s="22">
        <v>1</v>
      </c>
      <c r="J37" s="17" t="s">
        <v>131</v>
      </c>
      <c r="K37" s="19">
        <f t="shared" si="2"/>
        <v>3.1</v>
      </c>
      <c r="L37" s="20">
        <f t="shared" si="3"/>
        <v>1.9338739862757331E-2</v>
      </c>
    </row>
    <row r="38" spans="1:12" x14ac:dyDescent="0.25">
      <c r="A38" s="133" t="s">
        <v>129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8">
        <f>SUM(K29:K37)</f>
        <v>160.29999999999998</v>
      </c>
      <c r="L38" s="21">
        <f>SUM(L29:L37)</f>
        <v>1.0000000000000002</v>
      </c>
    </row>
    <row r="41" spans="1:12" x14ac:dyDescent="0.25">
      <c r="A41" s="125" t="s">
        <v>117</v>
      </c>
      <c r="B41" s="125" t="s">
        <v>133</v>
      </c>
      <c r="C41" s="126"/>
      <c r="D41" s="127"/>
    </row>
    <row r="42" spans="1:12" x14ac:dyDescent="0.25">
      <c r="A42" s="132"/>
      <c r="B42" s="128"/>
      <c r="C42" s="129"/>
      <c r="D42" s="130"/>
    </row>
    <row r="43" spans="1:12" x14ac:dyDescent="0.25">
      <c r="A43" s="123" t="s">
        <v>119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09"/>
    </row>
    <row r="44" spans="1:12" ht="38.25" customHeight="1" x14ac:dyDescent="0.25">
      <c r="A44" s="14"/>
      <c r="B44" s="15" t="s">
        <v>120</v>
      </c>
      <c r="C44" s="15" t="s">
        <v>121</v>
      </c>
      <c r="D44" s="15" t="s">
        <v>122</v>
      </c>
      <c r="E44" s="15" t="s">
        <v>123</v>
      </c>
      <c r="F44" s="15" t="s">
        <v>124</v>
      </c>
      <c r="G44" s="15" t="s">
        <v>125</v>
      </c>
      <c r="H44" s="15" t="s">
        <v>126</v>
      </c>
      <c r="I44" s="15" t="s">
        <v>127</v>
      </c>
      <c r="J44" s="15" t="s">
        <v>128</v>
      </c>
      <c r="K44" s="15" t="s">
        <v>129</v>
      </c>
      <c r="L44" s="15" t="s">
        <v>130</v>
      </c>
    </row>
    <row r="45" spans="1:12" x14ac:dyDescent="0.25">
      <c r="A45" s="16" t="s">
        <v>120</v>
      </c>
      <c r="B45" s="17" t="s">
        <v>131</v>
      </c>
      <c r="C45" s="22">
        <v>5</v>
      </c>
      <c r="D45" s="22">
        <v>5</v>
      </c>
      <c r="E45" s="22">
        <v>10</v>
      </c>
      <c r="F45" s="22">
        <v>5</v>
      </c>
      <c r="G45" s="22">
        <v>5</v>
      </c>
      <c r="H45" s="22">
        <v>5</v>
      </c>
      <c r="I45" s="22">
        <v>10</v>
      </c>
      <c r="J45" s="22">
        <v>10</v>
      </c>
      <c r="K45" s="19">
        <f t="shared" ref="K45:K53" si="4">SUM(B45:J45)</f>
        <v>55</v>
      </c>
      <c r="L45" s="20">
        <f t="shared" ref="L45:L53" si="5">K45/$K$54</f>
        <v>0.34310667498440428</v>
      </c>
    </row>
    <row r="46" spans="1:12" x14ac:dyDescent="0.25">
      <c r="A46" s="16" t="s">
        <v>121</v>
      </c>
      <c r="B46" s="22">
        <v>0.2</v>
      </c>
      <c r="C46" s="17" t="s">
        <v>131</v>
      </c>
      <c r="D46" s="18">
        <v>1</v>
      </c>
      <c r="E46" s="18">
        <v>5</v>
      </c>
      <c r="F46" s="18">
        <v>1</v>
      </c>
      <c r="G46" s="18">
        <v>1</v>
      </c>
      <c r="H46" s="18">
        <v>1</v>
      </c>
      <c r="I46" s="18">
        <v>5</v>
      </c>
      <c r="J46" s="18">
        <v>5</v>
      </c>
      <c r="K46" s="19">
        <f t="shared" si="4"/>
        <v>19.2</v>
      </c>
      <c r="L46" s="20">
        <f t="shared" si="5"/>
        <v>0.11977542108546477</v>
      </c>
    </row>
    <row r="47" spans="1:12" x14ac:dyDescent="0.25">
      <c r="A47" s="16" t="s">
        <v>122</v>
      </c>
      <c r="B47" s="22">
        <v>0.2</v>
      </c>
      <c r="C47" s="18">
        <v>1</v>
      </c>
      <c r="D47" s="17" t="s">
        <v>131</v>
      </c>
      <c r="E47" s="18">
        <v>5</v>
      </c>
      <c r="F47" s="18">
        <v>1</v>
      </c>
      <c r="G47" s="18">
        <v>1</v>
      </c>
      <c r="H47" s="18">
        <v>1</v>
      </c>
      <c r="I47" s="18">
        <v>5</v>
      </c>
      <c r="J47" s="18">
        <v>5</v>
      </c>
      <c r="K47" s="19">
        <f t="shared" si="4"/>
        <v>19.2</v>
      </c>
      <c r="L47" s="20">
        <f t="shared" si="5"/>
        <v>0.11977542108546477</v>
      </c>
    </row>
    <row r="48" spans="1:12" x14ac:dyDescent="0.25">
      <c r="A48" s="16" t="s">
        <v>123</v>
      </c>
      <c r="B48" s="22">
        <v>0.1</v>
      </c>
      <c r="C48" s="18">
        <v>0.2</v>
      </c>
      <c r="D48" s="18">
        <v>0.2</v>
      </c>
      <c r="E48" s="17" t="s">
        <v>131</v>
      </c>
      <c r="F48" s="18">
        <v>0.2</v>
      </c>
      <c r="G48" s="18">
        <v>0.2</v>
      </c>
      <c r="H48" s="18">
        <v>0.2</v>
      </c>
      <c r="I48" s="18">
        <v>1</v>
      </c>
      <c r="J48" s="22">
        <v>1</v>
      </c>
      <c r="K48" s="19">
        <f t="shared" si="4"/>
        <v>3.0999999999999996</v>
      </c>
      <c r="L48" s="20">
        <f t="shared" si="5"/>
        <v>1.9338739862757331E-2</v>
      </c>
    </row>
    <row r="49" spans="1:12" x14ac:dyDescent="0.25">
      <c r="A49" s="16" t="s">
        <v>124</v>
      </c>
      <c r="B49" s="22">
        <v>0.2</v>
      </c>
      <c r="C49" s="45">
        <v>1</v>
      </c>
      <c r="D49" s="18">
        <v>1</v>
      </c>
      <c r="E49" s="18">
        <v>5</v>
      </c>
      <c r="F49" s="17" t="s">
        <v>131</v>
      </c>
      <c r="G49" s="18">
        <v>1</v>
      </c>
      <c r="H49" s="18">
        <v>1</v>
      </c>
      <c r="I49" s="18">
        <v>5</v>
      </c>
      <c r="J49" s="22">
        <v>5</v>
      </c>
      <c r="K49" s="19">
        <f t="shared" si="4"/>
        <v>19.2</v>
      </c>
      <c r="L49" s="20">
        <f t="shared" si="5"/>
        <v>0.11977542108546477</v>
      </c>
    </row>
    <row r="50" spans="1:12" x14ac:dyDescent="0.25">
      <c r="A50" s="16" t="s">
        <v>125</v>
      </c>
      <c r="B50" s="22">
        <v>0.2</v>
      </c>
      <c r="C50" s="18">
        <v>1</v>
      </c>
      <c r="D50" s="18">
        <v>1</v>
      </c>
      <c r="E50" s="18">
        <v>5</v>
      </c>
      <c r="F50" s="18">
        <v>1</v>
      </c>
      <c r="G50" s="17" t="s">
        <v>131</v>
      </c>
      <c r="H50" s="22">
        <v>1</v>
      </c>
      <c r="I50" s="22">
        <v>5</v>
      </c>
      <c r="J50" s="22">
        <v>5</v>
      </c>
      <c r="K50" s="19">
        <f t="shared" si="4"/>
        <v>19.2</v>
      </c>
      <c r="L50" s="20">
        <f t="shared" si="5"/>
        <v>0.11977542108546477</v>
      </c>
    </row>
    <row r="51" spans="1:12" x14ac:dyDescent="0.25">
      <c r="A51" s="16" t="s">
        <v>126</v>
      </c>
      <c r="B51" s="22">
        <v>0.2</v>
      </c>
      <c r="C51" s="18">
        <v>1</v>
      </c>
      <c r="D51" s="18">
        <v>1</v>
      </c>
      <c r="E51" s="18">
        <v>5</v>
      </c>
      <c r="F51" s="18">
        <v>1</v>
      </c>
      <c r="G51" s="22">
        <v>1</v>
      </c>
      <c r="H51" s="17" t="s">
        <v>131</v>
      </c>
      <c r="I51" s="22">
        <v>5</v>
      </c>
      <c r="J51" s="22">
        <v>5</v>
      </c>
      <c r="K51" s="19">
        <f t="shared" si="4"/>
        <v>19.2</v>
      </c>
      <c r="L51" s="20">
        <f t="shared" si="5"/>
        <v>0.11977542108546477</v>
      </c>
    </row>
    <row r="52" spans="1:12" x14ac:dyDescent="0.25">
      <c r="A52" s="16" t="s">
        <v>127</v>
      </c>
      <c r="B52" s="22">
        <v>0.1</v>
      </c>
      <c r="C52" s="18">
        <v>0.2</v>
      </c>
      <c r="D52" s="18">
        <v>0.2</v>
      </c>
      <c r="E52" s="18">
        <v>1</v>
      </c>
      <c r="F52" s="18">
        <v>0.2</v>
      </c>
      <c r="G52" s="22">
        <v>0.2</v>
      </c>
      <c r="H52" s="22">
        <v>0.2</v>
      </c>
      <c r="I52" s="17" t="s">
        <v>131</v>
      </c>
      <c r="J52" s="22">
        <v>1</v>
      </c>
      <c r="K52" s="19">
        <f t="shared" si="4"/>
        <v>3.1</v>
      </c>
      <c r="L52" s="20">
        <f t="shared" si="5"/>
        <v>1.9338739862757331E-2</v>
      </c>
    </row>
    <row r="53" spans="1:12" x14ac:dyDescent="0.25">
      <c r="A53" s="16" t="s">
        <v>128</v>
      </c>
      <c r="B53" s="75">
        <v>0.1</v>
      </c>
      <c r="C53" s="45">
        <v>0.2</v>
      </c>
      <c r="D53" s="18">
        <v>0.2</v>
      </c>
      <c r="E53" s="22">
        <v>1</v>
      </c>
      <c r="F53" s="22">
        <v>0.2</v>
      </c>
      <c r="G53" s="22">
        <v>0.2</v>
      </c>
      <c r="H53" s="22">
        <v>0.2</v>
      </c>
      <c r="I53" s="22">
        <v>1</v>
      </c>
      <c r="J53" s="17" t="s">
        <v>131</v>
      </c>
      <c r="K53" s="19">
        <f t="shared" si="4"/>
        <v>3.1</v>
      </c>
      <c r="L53" s="20">
        <f t="shared" si="5"/>
        <v>1.9338739862757331E-2</v>
      </c>
    </row>
    <row r="54" spans="1:12" x14ac:dyDescent="0.25">
      <c r="A54" s="133" t="s">
        <v>129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8">
        <f>SUM(K45:K53)</f>
        <v>160.29999999999998</v>
      </c>
      <c r="L54" s="21">
        <f>SUM(L45:L53)</f>
        <v>1.0000000000000002</v>
      </c>
    </row>
    <row r="56" spans="1:12" x14ac:dyDescent="0.25">
      <c r="A56" s="80"/>
      <c r="B56" s="80"/>
    </row>
    <row r="57" spans="1:12" x14ac:dyDescent="0.25">
      <c r="A57" s="125" t="s">
        <v>117</v>
      </c>
      <c r="B57" s="125" t="s">
        <v>134</v>
      </c>
      <c r="C57" s="126"/>
      <c r="D57" s="127"/>
    </row>
    <row r="58" spans="1:12" x14ac:dyDescent="0.25">
      <c r="A58" s="132"/>
      <c r="B58" s="128"/>
      <c r="C58" s="129"/>
      <c r="D58" s="130"/>
    </row>
    <row r="59" spans="1:12" ht="38.25" customHeight="1" x14ac:dyDescent="0.25">
      <c r="A59" s="123" t="s">
        <v>119</v>
      </c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09"/>
    </row>
    <row r="60" spans="1:12" ht="38.25" customHeight="1" x14ac:dyDescent="0.25">
      <c r="A60" s="14"/>
      <c r="B60" s="15" t="s">
        <v>120</v>
      </c>
      <c r="C60" s="15" t="s">
        <v>121</v>
      </c>
      <c r="D60" s="15" t="s">
        <v>122</v>
      </c>
      <c r="E60" s="15" t="s">
        <v>123</v>
      </c>
      <c r="F60" s="15" t="s">
        <v>124</v>
      </c>
      <c r="G60" s="15" t="s">
        <v>125</v>
      </c>
      <c r="H60" s="15" t="s">
        <v>126</v>
      </c>
      <c r="I60" s="15" t="s">
        <v>127</v>
      </c>
      <c r="J60" s="15" t="s">
        <v>128</v>
      </c>
      <c r="K60" s="15" t="s">
        <v>129</v>
      </c>
      <c r="L60" s="15" t="s">
        <v>130</v>
      </c>
    </row>
    <row r="61" spans="1:12" x14ac:dyDescent="0.25">
      <c r="A61" s="16" t="s">
        <v>120</v>
      </c>
      <c r="B61" s="17" t="s">
        <v>131</v>
      </c>
      <c r="C61" s="22">
        <v>5</v>
      </c>
      <c r="D61" s="22">
        <v>5</v>
      </c>
      <c r="E61" s="22">
        <v>10</v>
      </c>
      <c r="F61" s="22">
        <v>5</v>
      </c>
      <c r="G61" s="22">
        <v>5</v>
      </c>
      <c r="H61" s="22">
        <v>5</v>
      </c>
      <c r="I61" s="22">
        <v>10</v>
      </c>
      <c r="J61" s="22">
        <v>10</v>
      </c>
      <c r="K61" s="19">
        <f t="shared" ref="K61:K69" si="6">SUM(B61:J61)</f>
        <v>55</v>
      </c>
      <c r="L61" s="20">
        <f t="shared" ref="L61:L69" si="7">K61/$K$70</f>
        <v>0.34310667498440428</v>
      </c>
    </row>
    <row r="62" spans="1:12" x14ac:dyDescent="0.25">
      <c r="A62" s="16" t="s">
        <v>121</v>
      </c>
      <c r="B62" s="22">
        <v>0.2</v>
      </c>
      <c r="C62" s="17" t="s">
        <v>131</v>
      </c>
      <c r="D62" s="18">
        <v>1</v>
      </c>
      <c r="E62" s="18">
        <v>5</v>
      </c>
      <c r="F62" s="18">
        <v>1</v>
      </c>
      <c r="G62" s="18">
        <v>1</v>
      </c>
      <c r="H62" s="18">
        <v>1</v>
      </c>
      <c r="I62" s="18">
        <v>5</v>
      </c>
      <c r="J62" s="18">
        <v>5</v>
      </c>
      <c r="K62" s="19">
        <f t="shared" si="6"/>
        <v>19.2</v>
      </c>
      <c r="L62" s="20">
        <f t="shared" si="7"/>
        <v>0.11977542108546477</v>
      </c>
    </row>
    <row r="63" spans="1:12" x14ac:dyDescent="0.25">
      <c r="A63" s="16" t="s">
        <v>122</v>
      </c>
      <c r="B63" s="22">
        <v>0.2</v>
      </c>
      <c r="C63" s="18">
        <v>1</v>
      </c>
      <c r="D63" s="17" t="s">
        <v>131</v>
      </c>
      <c r="E63" s="18">
        <v>5</v>
      </c>
      <c r="F63" s="18">
        <v>1</v>
      </c>
      <c r="G63" s="18">
        <v>1</v>
      </c>
      <c r="H63" s="18">
        <v>1</v>
      </c>
      <c r="I63" s="18">
        <v>5</v>
      </c>
      <c r="J63" s="18">
        <v>5</v>
      </c>
      <c r="K63" s="19">
        <f t="shared" si="6"/>
        <v>19.2</v>
      </c>
      <c r="L63" s="20">
        <f t="shared" si="7"/>
        <v>0.11977542108546477</v>
      </c>
    </row>
    <row r="64" spans="1:12" x14ac:dyDescent="0.25">
      <c r="A64" s="16" t="s">
        <v>123</v>
      </c>
      <c r="B64" s="22">
        <v>0.1</v>
      </c>
      <c r="C64" s="18">
        <v>0.2</v>
      </c>
      <c r="D64" s="18">
        <v>0.2</v>
      </c>
      <c r="E64" s="17" t="s">
        <v>131</v>
      </c>
      <c r="F64" s="18">
        <v>0.2</v>
      </c>
      <c r="G64" s="18">
        <v>0.2</v>
      </c>
      <c r="H64" s="18">
        <v>0.2</v>
      </c>
      <c r="I64" s="18">
        <v>1</v>
      </c>
      <c r="J64" s="22">
        <v>1</v>
      </c>
      <c r="K64" s="19">
        <f t="shared" si="6"/>
        <v>3.0999999999999996</v>
      </c>
      <c r="L64" s="20">
        <f t="shared" si="7"/>
        <v>1.9338739862757331E-2</v>
      </c>
    </row>
    <row r="65" spans="1:12" x14ac:dyDescent="0.25">
      <c r="A65" s="16" t="s">
        <v>124</v>
      </c>
      <c r="B65" s="22">
        <v>0.2</v>
      </c>
      <c r="C65" s="45">
        <v>1</v>
      </c>
      <c r="D65" s="18">
        <v>1</v>
      </c>
      <c r="E65" s="18">
        <v>5</v>
      </c>
      <c r="F65" s="17" t="s">
        <v>131</v>
      </c>
      <c r="G65" s="18">
        <v>1</v>
      </c>
      <c r="H65" s="18">
        <v>1</v>
      </c>
      <c r="I65" s="18">
        <v>5</v>
      </c>
      <c r="J65" s="22">
        <v>5</v>
      </c>
      <c r="K65" s="19">
        <f t="shared" si="6"/>
        <v>19.2</v>
      </c>
      <c r="L65" s="20">
        <f t="shared" si="7"/>
        <v>0.11977542108546477</v>
      </c>
    </row>
    <row r="66" spans="1:12" x14ac:dyDescent="0.25">
      <c r="A66" s="16" t="s">
        <v>125</v>
      </c>
      <c r="B66" s="22">
        <v>0.2</v>
      </c>
      <c r="C66" s="18">
        <v>1</v>
      </c>
      <c r="D66" s="18">
        <v>1</v>
      </c>
      <c r="E66" s="18">
        <v>5</v>
      </c>
      <c r="F66" s="18">
        <v>1</v>
      </c>
      <c r="G66" s="17" t="s">
        <v>131</v>
      </c>
      <c r="H66" s="22">
        <v>1</v>
      </c>
      <c r="I66" s="22">
        <v>5</v>
      </c>
      <c r="J66" s="22">
        <v>5</v>
      </c>
      <c r="K66" s="19">
        <f t="shared" si="6"/>
        <v>19.2</v>
      </c>
      <c r="L66" s="20">
        <f t="shared" si="7"/>
        <v>0.11977542108546477</v>
      </c>
    </row>
    <row r="67" spans="1:12" x14ac:dyDescent="0.25">
      <c r="A67" s="16" t="s">
        <v>126</v>
      </c>
      <c r="B67" s="22">
        <v>0.2</v>
      </c>
      <c r="C67" s="18">
        <v>1</v>
      </c>
      <c r="D67" s="18">
        <v>1</v>
      </c>
      <c r="E67" s="18">
        <v>5</v>
      </c>
      <c r="F67" s="18">
        <v>1</v>
      </c>
      <c r="G67" s="22">
        <v>1</v>
      </c>
      <c r="H67" s="17" t="s">
        <v>131</v>
      </c>
      <c r="I67" s="22">
        <v>5</v>
      </c>
      <c r="J67" s="22">
        <v>5</v>
      </c>
      <c r="K67" s="19">
        <f t="shared" si="6"/>
        <v>19.2</v>
      </c>
      <c r="L67" s="20">
        <f t="shared" si="7"/>
        <v>0.11977542108546477</v>
      </c>
    </row>
    <row r="68" spans="1:12" x14ac:dyDescent="0.25">
      <c r="A68" s="16" t="s">
        <v>127</v>
      </c>
      <c r="B68" s="22">
        <v>0.1</v>
      </c>
      <c r="C68" s="18">
        <v>0.2</v>
      </c>
      <c r="D68" s="18">
        <v>0.2</v>
      </c>
      <c r="E68" s="18">
        <v>1</v>
      </c>
      <c r="F68" s="18">
        <v>0.2</v>
      </c>
      <c r="G68" s="22">
        <v>0.2</v>
      </c>
      <c r="H68" s="22">
        <v>0.2</v>
      </c>
      <c r="I68" s="17" t="s">
        <v>131</v>
      </c>
      <c r="J68" s="22">
        <v>1</v>
      </c>
      <c r="K68" s="19">
        <f t="shared" si="6"/>
        <v>3.1</v>
      </c>
      <c r="L68" s="20">
        <f t="shared" si="7"/>
        <v>1.9338739862757331E-2</v>
      </c>
    </row>
    <row r="69" spans="1:12" x14ac:dyDescent="0.25">
      <c r="A69" s="16" t="s">
        <v>128</v>
      </c>
      <c r="B69" s="75">
        <v>0.1</v>
      </c>
      <c r="C69" s="45">
        <v>0.2</v>
      </c>
      <c r="D69" s="18">
        <v>0.2</v>
      </c>
      <c r="E69" s="22">
        <v>1</v>
      </c>
      <c r="F69" s="22">
        <v>0.2</v>
      </c>
      <c r="G69" s="22">
        <v>0.2</v>
      </c>
      <c r="H69" s="22">
        <v>0.2</v>
      </c>
      <c r="I69" s="22">
        <v>1</v>
      </c>
      <c r="J69" s="17" t="s">
        <v>131</v>
      </c>
      <c r="K69" s="19">
        <f t="shared" si="6"/>
        <v>3.1</v>
      </c>
      <c r="L69" s="20">
        <f t="shared" si="7"/>
        <v>1.9338739862757331E-2</v>
      </c>
    </row>
    <row r="70" spans="1:12" x14ac:dyDescent="0.25">
      <c r="A70" s="133" t="s">
        <v>129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8">
        <f>SUM(K61:K69)</f>
        <v>160.29999999999998</v>
      </c>
      <c r="L70" s="21">
        <f>SUM(L61:L69)</f>
        <v>1.0000000000000002</v>
      </c>
    </row>
    <row r="71" spans="1:12" x14ac:dyDescent="0.25">
      <c r="A71" s="80"/>
      <c r="B71" s="80"/>
    </row>
    <row r="73" spans="1:12" x14ac:dyDescent="0.25">
      <c r="A73" s="125" t="s">
        <v>117</v>
      </c>
      <c r="B73" s="125" t="s">
        <v>135</v>
      </c>
      <c r="C73" s="126"/>
      <c r="D73" s="127"/>
    </row>
    <row r="74" spans="1:12" ht="38.25" customHeight="1" x14ac:dyDescent="0.25">
      <c r="A74" s="132"/>
      <c r="B74" s="128"/>
      <c r="C74" s="129"/>
      <c r="D74" s="130"/>
    </row>
    <row r="75" spans="1:12" x14ac:dyDescent="0.25">
      <c r="A75" s="123" t="s">
        <v>119</v>
      </c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09"/>
    </row>
    <row r="76" spans="1:12" ht="38.25" customHeight="1" x14ac:dyDescent="0.25">
      <c r="A76" s="14"/>
      <c r="B76" s="15" t="s">
        <v>120</v>
      </c>
      <c r="C76" s="15" t="s">
        <v>121</v>
      </c>
      <c r="D76" s="15" t="s">
        <v>122</v>
      </c>
      <c r="E76" s="15" t="s">
        <v>123</v>
      </c>
      <c r="F76" s="15" t="s">
        <v>124</v>
      </c>
      <c r="G76" s="15" t="s">
        <v>125</v>
      </c>
      <c r="H76" s="15" t="s">
        <v>126</v>
      </c>
      <c r="I76" s="15" t="s">
        <v>127</v>
      </c>
      <c r="J76" s="15" t="s">
        <v>128</v>
      </c>
      <c r="K76" s="15" t="s">
        <v>129</v>
      </c>
      <c r="L76" s="15" t="s">
        <v>130</v>
      </c>
    </row>
    <row r="77" spans="1:12" x14ac:dyDescent="0.25">
      <c r="A77" s="16" t="s">
        <v>120</v>
      </c>
      <c r="B77" s="17" t="s">
        <v>131</v>
      </c>
      <c r="C77" s="22">
        <v>5</v>
      </c>
      <c r="D77" s="22">
        <v>5</v>
      </c>
      <c r="E77" s="22">
        <v>10</v>
      </c>
      <c r="F77" s="22">
        <v>5</v>
      </c>
      <c r="G77" s="22">
        <v>5</v>
      </c>
      <c r="H77" s="22">
        <v>5</v>
      </c>
      <c r="I77" s="22">
        <v>10</v>
      </c>
      <c r="J77" s="22">
        <v>10</v>
      </c>
      <c r="K77" s="19">
        <f t="shared" ref="K77:K85" si="8">SUM(B77:J77)</f>
        <v>55</v>
      </c>
      <c r="L77" s="20">
        <f t="shared" ref="L77:L85" si="9">K77/$K$86</f>
        <v>0.34310667498440428</v>
      </c>
    </row>
    <row r="78" spans="1:12" x14ac:dyDescent="0.25">
      <c r="A78" s="16" t="s">
        <v>121</v>
      </c>
      <c r="B78" s="22">
        <v>0.2</v>
      </c>
      <c r="C78" s="17" t="s">
        <v>131</v>
      </c>
      <c r="D78" s="18">
        <v>1</v>
      </c>
      <c r="E78" s="18">
        <v>5</v>
      </c>
      <c r="F78" s="18">
        <v>1</v>
      </c>
      <c r="G78" s="18">
        <v>1</v>
      </c>
      <c r="H78" s="18">
        <v>1</v>
      </c>
      <c r="I78" s="18">
        <v>5</v>
      </c>
      <c r="J78" s="18">
        <v>5</v>
      </c>
      <c r="K78" s="19">
        <f t="shared" si="8"/>
        <v>19.2</v>
      </c>
      <c r="L78" s="20">
        <f t="shared" si="9"/>
        <v>0.11977542108546477</v>
      </c>
    </row>
    <row r="79" spans="1:12" x14ac:dyDescent="0.25">
      <c r="A79" s="16" t="s">
        <v>122</v>
      </c>
      <c r="B79" s="22">
        <v>0.2</v>
      </c>
      <c r="C79" s="18">
        <v>1</v>
      </c>
      <c r="D79" s="17" t="s">
        <v>131</v>
      </c>
      <c r="E79" s="18">
        <v>5</v>
      </c>
      <c r="F79" s="18">
        <v>1</v>
      </c>
      <c r="G79" s="18">
        <v>1</v>
      </c>
      <c r="H79" s="18">
        <v>1</v>
      </c>
      <c r="I79" s="18">
        <v>5</v>
      </c>
      <c r="J79" s="18">
        <v>5</v>
      </c>
      <c r="K79" s="19">
        <f t="shared" si="8"/>
        <v>19.2</v>
      </c>
      <c r="L79" s="20">
        <f t="shared" si="9"/>
        <v>0.11977542108546477</v>
      </c>
    </row>
    <row r="80" spans="1:12" x14ac:dyDescent="0.25">
      <c r="A80" s="16" t="s">
        <v>123</v>
      </c>
      <c r="B80" s="22">
        <v>0.1</v>
      </c>
      <c r="C80" s="18">
        <v>0.2</v>
      </c>
      <c r="D80" s="18">
        <v>0.2</v>
      </c>
      <c r="E80" s="17" t="s">
        <v>131</v>
      </c>
      <c r="F80" s="18">
        <v>0.2</v>
      </c>
      <c r="G80" s="18">
        <v>0.2</v>
      </c>
      <c r="H80" s="18">
        <v>0.2</v>
      </c>
      <c r="I80" s="18">
        <v>1</v>
      </c>
      <c r="J80" s="22">
        <v>1</v>
      </c>
      <c r="K80" s="19">
        <f t="shared" si="8"/>
        <v>3.0999999999999996</v>
      </c>
      <c r="L80" s="20">
        <f t="shared" si="9"/>
        <v>1.9338739862757331E-2</v>
      </c>
    </row>
    <row r="81" spans="1:12" x14ac:dyDescent="0.25">
      <c r="A81" s="16" t="s">
        <v>124</v>
      </c>
      <c r="B81" s="22">
        <v>0.2</v>
      </c>
      <c r="C81" s="45">
        <v>1</v>
      </c>
      <c r="D81" s="18">
        <v>1</v>
      </c>
      <c r="E81" s="18">
        <v>5</v>
      </c>
      <c r="F81" s="17" t="s">
        <v>131</v>
      </c>
      <c r="G81" s="18">
        <v>1</v>
      </c>
      <c r="H81" s="18">
        <v>1</v>
      </c>
      <c r="I81" s="18">
        <v>5</v>
      </c>
      <c r="J81" s="22">
        <v>5</v>
      </c>
      <c r="K81" s="19">
        <f t="shared" si="8"/>
        <v>19.2</v>
      </c>
      <c r="L81" s="20">
        <f t="shared" si="9"/>
        <v>0.11977542108546477</v>
      </c>
    </row>
    <row r="82" spans="1:12" x14ac:dyDescent="0.25">
      <c r="A82" s="16" t="s">
        <v>125</v>
      </c>
      <c r="B82" s="22">
        <v>0.2</v>
      </c>
      <c r="C82" s="18">
        <v>1</v>
      </c>
      <c r="D82" s="18">
        <v>1</v>
      </c>
      <c r="E82" s="18">
        <v>5</v>
      </c>
      <c r="F82" s="18">
        <v>1</v>
      </c>
      <c r="G82" s="17" t="s">
        <v>131</v>
      </c>
      <c r="H82" s="22">
        <v>1</v>
      </c>
      <c r="I82" s="22">
        <v>5</v>
      </c>
      <c r="J82" s="22">
        <v>5</v>
      </c>
      <c r="K82" s="19">
        <f t="shared" si="8"/>
        <v>19.2</v>
      </c>
      <c r="L82" s="20">
        <f t="shared" si="9"/>
        <v>0.11977542108546477</v>
      </c>
    </row>
    <row r="83" spans="1:12" x14ac:dyDescent="0.25">
      <c r="A83" s="16" t="s">
        <v>126</v>
      </c>
      <c r="B83" s="22">
        <v>0.2</v>
      </c>
      <c r="C83" s="18">
        <v>1</v>
      </c>
      <c r="D83" s="18">
        <v>1</v>
      </c>
      <c r="E83" s="18">
        <v>5</v>
      </c>
      <c r="F83" s="18">
        <v>1</v>
      </c>
      <c r="G83" s="22">
        <v>1</v>
      </c>
      <c r="H83" s="17" t="s">
        <v>131</v>
      </c>
      <c r="I83" s="22">
        <v>5</v>
      </c>
      <c r="J83" s="22">
        <v>5</v>
      </c>
      <c r="K83" s="19">
        <f t="shared" si="8"/>
        <v>19.2</v>
      </c>
      <c r="L83" s="20">
        <f t="shared" si="9"/>
        <v>0.11977542108546477</v>
      </c>
    </row>
    <row r="84" spans="1:12" x14ac:dyDescent="0.25">
      <c r="A84" s="16" t="s">
        <v>127</v>
      </c>
      <c r="B84" s="22">
        <v>0.1</v>
      </c>
      <c r="C84" s="18">
        <v>0.2</v>
      </c>
      <c r="D84" s="18">
        <v>0.2</v>
      </c>
      <c r="E84" s="18">
        <v>1</v>
      </c>
      <c r="F84" s="18">
        <v>0.2</v>
      </c>
      <c r="G84" s="22">
        <v>0.2</v>
      </c>
      <c r="H84" s="22">
        <v>0.2</v>
      </c>
      <c r="I84" s="17" t="s">
        <v>131</v>
      </c>
      <c r="J84" s="22">
        <v>1</v>
      </c>
      <c r="K84" s="19">
        <f t="shared" si="8"/>
        <v>3.1</v>
      </c>
      <c r="L84" s="20">
        <f t="shared" si="9"/>
        <v>1.9338739862757331E-2</v>
      </c>
    </row>
    <row r="85" spans="1:12" x14ac:dyDescent="0.25">
      <c r="A85" s="16" t="s">
        <v>128</v>
      </c>
      <c r="B85" s="75">
        <v>0.1</v>
      </c>
      <c r="C85" s="45">
        <v>0.2</v>
      </c>
      <c r="D85" s="18">
        <v>0.2</v>
      </c>
      <c r="E85" s="22">
        <v>1</v>
      </c>
      <c r="F85" s="22">
        <v>0.2</v>
      </c>
      <c r="G85" s="22">
        <v>0.2</v>
      </c>
      <c r="H85" s="22">
        <v>0.2</v>
      </c>
      <c r="I85" s="22">
        <v>1</v>
      </c>
      <c r="J85" s="17" t="s">
        <v>131</v>
      </c>
      <c r="K85" s="19">
        <f t="shared" si="8"/>
        <v>3.1</v>
      </c>
      <c r="L85" s="20">
        <f t="shared" si="9"/>
        <v>1.9338739862757331E-2</v>
      </c>
    </row>
    <row r="86" spans="1:12" x14ac:dyDescent="0.25">
      <c r="A86" s="133" t="s">
        <v>129</v>
      </c>
      <c r="B86" s="124"/>
      <c r="C86" s="124"/>
      <c r="D86" s="124"/>
      <c r="E86" s="124"/>
      <c r="F86" s="124"/>
      <c r="G86" s="124"/>
      <c r="H86" s="124"/>
      <c r="I86" s="124"/>
      <c r="J86" s="124"/>
      <c r="K86" s="18">
        <f>SUM(K77:K85)</f>
        <v>160.29999999999998</v>
      </c>
      <c r="L86" s="21">
        <f>SUM(L77:L85)</f>
        <v>1.0000000000000002</v>
      </c>
    </row>
    <row r="88" spans="1:12" x14ac:dyDescent="0.25">
      <c r="A88" s="81"/>
    </row>
    <row r="89" spans="1:12" ht="38.25" customHeight="1" x14ac:dyDescent="0.25">
      <c r="A89" s="125" t="s">
        <v>117</v>
      </c>
      <c r="B89" s="125" t="s">
        <v>136</v>
      </c>
      <c r="C89" s="126"/>
      <c r="D89" s="127"/>
    </row>
    <row r="90" spans="1:12" x14ac:dyDescent="0.25">
      <c r="A90" s="132"/>
      <c r="B90" s="128"/>
      <c r="C90" s="129"/>
      <c r="D90" s="130"/>
    </row>
    <row r="91" spans="1:12" x14ac:dyDescent="0.25">
      <c r="A91" s="123" t="s">
        <v>119</v>
      </c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09"/>
    </row>
    <row r="92" spans="1:12" ht="38.25" customHeight="1" x14ac:dyDescent="0.25">
      <c r="A92" s="14"/>
      <c r="B92" s="15" t="s">
        <v>120</v>
      </c>
      <c r="C92" s="15" t="s">
        <v>121</v>
      </c>
      <c r="D92" s="15" t="s">
        <v>122</v>
      </c>
      <c r="E92" s="15" t="s">
        <v>123</v>
      </c>
      <c r="F92" s="15" t="s">
        <v>124</v>
      </c>
      <c r="G92" s="15" t="s">
        <v>125</v>
      </c>
      <c r="H92" s="15" t="s">
        <v>126</v>
      </c>
      <c r="I92" s="15" t="s">
        <v>127</v>
      </c>
      <c r="J92" s="15" t="s">
        <v>128</v>
      </c>
      <c r="K92" s="15" t="s">
        <v>129</v>
      </c>
      <c r="L92" s="15" t="s">
        <v>130</v>
      </c>
    </row>
    <row r="93" spans="1:12" x14ac:dyDescent="0.25">
      <c r="A93" s="16" t="s">
        <v>120</v>
      </c>
      <c r="B93" s="17" t="s">
        <v>131</v>
      </c>
      <c r="C93" s="22">
        <v>1</v>
      </c>
      <c r="D93" s="22">
        <v>1</v>
      </c>
      <c r="E93" s="22">
        <v>5</v>
      </c>
      <c r="F93" s="22">
        <v>0.2</v>
      </c>
      <c r="G93" s="22">
        <v>1</v>
      </c>
      <c r="H93" s="22">
        <v>0.2</v>
      </c>
      <c r="I93" s="22">
        <v>5</v>
      </c>
      <c r="J93" s="22">
        <v>5</v>
      </c>
      <c r="K93" s="19">
        <f t="shared" ref="K93:K101" si="10">SUM(B93:J93)</f>
        <v>18.399999999999999</v>
      </c>
      <c r="L93" s="20">
        <f t="shared" ref="L93:L101" si="11">K93/$K$102</f>
        <v>0.11616161616161617</v>
      </c>
    </row>
    <row r="94" spans="1:12" x14ac:dyDescent="0.25">
      <c r="A94" s="16" t="s">
        <v>121</v>
      </c>
      <c r="B94" s="22">
        <v>1</v>
      </c>
      <c r="C94" s="17" t="s">
        <v>131</v>
      </c>
      <c r="D94" s="18">
        <v>1</v>
      </c>
      <c r="E94" s="18">
        <v>5</v>
      </c>
      <c r="F94" s="18">
        <v>0.2</v>
      </c>
      <c r="G94" s="18">
        <v>1</v>
      </c>
      <c r="H94" s="18">
        <v>0.2</v>
      </c>
      <c r="I94" s="18">
        <v>5</v>
      </c>
      <c r="J94" s="18">
        <v>5</v>
      </c>
      <c r="K94" s="19">
        <f t="shared" si="10"/>
        <v>18.399999999999999</v>
      </c>
      <c r="L94" s="20">
        <f t="shared" si="11"/>
        <v>0.11616161616161617</v>
      </c>
    </row>
    <row r="95" spans="1:12" x14ac:dyDescent="0.25">
      <c r="A95" s="16" t="s">
        <v>122</v>
      </c>
      <c r="B95" s="22">
        <v>1</v>
      </c>
      <c r="C95" s="18">
        <v>1</v>
      </c>
      <c r="D95" s="17" t="s">
        <v>131</v>
      </c>
      <c r="E95" s="18">
        <v>5</v>
      </c>
      <c r="F95" s="18">
        <v>0.2</v>
      </c>
      <c r="G95" s="18">
        <v>1</v>
      </c>
      <c r="H95" s="18">
        <v>0.2</v>
      </c>
      <c r="I95" s="18">
        <v>5</v>
      </c>
      <c r="J95" s="18">
        <v>5</v>
      </c>
      <c r="K95" s="19">
        <f t="shared" si="10"/>
        <v>18.399999999999999</v>
      </c>
      <c r="L95" s="20">
        <f t="shared" si="11"/>
        <v>0.11616161616161617</v>
      </c>
    </row>
    <row r="96" spans="1:12" x14ac:dyDescent="0.25">
      <c r="A96" s="16" t="s">
        <v>123</v>
      </c>
      <c r="B96" s="22">
        <v>0.2</v>
      </c>
      <c r="C96" s="18">
        <v>0.2</v>
      </c>
      <c r="D96" s="18">
        <v>0.2</v>
      </c>
      <c r="E96" s="17" t="s">
        <v>131</v>
      </c>
      <c r="F96" s="18">
        <v>0.2</v>
      </c>
      <c r="G96" s="18">
        <v>0.2</v>
      </c>
      <c r="H96" s="18">
        <v>0.2</v>
      </c>
      <c r="I96" s="18">
        <v>1</v>
      </c>
      <c r="J96" s="22">
        <v>1</v>
      </c>
      <c r="K96" s="19">
        <f t="shared" si="10"/>
        <v>3.2</v>
      </c>
      <c r="L96" s="20">
        <f t="shared" si="11"/>
        <v>2.0202020202020207E-2</v>
      </c>
    </row>
    <row r="97" spans="1:12" x14ac:dyDescent="0.25">
      <c r="A97" s="16" t="s">
        <v>124</v>
      </c>
      <c r="B97" s="22">
        <v>5</v>
      </c>
      <c r="C97" s="45">
        <v>5</v>
      </c>
      <c r="D97" s="18">
        <v>5</v>
      </c>
      <c r="E97" s="18">
        <v>5</v>
      </c>
      <c r="F97" s="17" t="s">
        <v>131</v>
      </c>
      <c r="G97" s="18">
        <v>5</v>
      </c>
      <c r="H97" s="18">
        <v>5</v>
      </c>
      <c r="I97" s="18">
        <v>5</v>
      </c>
      <c r="J97" s="22">
        <v>5</v>
      </c>
      <c r="K97" s="19">
        <f t="shared" si="10"/>
        <v>40</v>
      </c>
      <c r="L97" s="20">
        <f t="shared" si="11"/>
        <v>0.25252525252525254</v>
      </c>
    </row>
    <row r="98" spans="1:12" x14ac:dyDescent="0.25">
      <c r="A98" s="16" t="s">
        <v>125</v>
      </c>
      <c r="B98" s="22">
        <v>1</v>
      </c>
      <c r="C98" s="18">
        <v>1</v>
      </c>
      <c r="D98" s="18">
        <v>1</v>
      </c>
      <c r="E98" s="18">
        <v>5</v>
      </c>
      <c r="F98" s="18">
        <v>0.2</v>
      </c>
      <c r="G98" s="17" t="s">
        <v>131</v>
      </c>
      <c r="H98" s="22">
        <v>0.2</v>
      </c>
      <c r="I98" s="22">
        <v>5</v>
      </c>
      <c r="J98" s="22">
        <v>5</v>
      </c>
      <c r="K98" s="19">
        <f t="shared" si="10"/>
        <v>18.399999999999999</v>
      </c>
      <c r="L98" s="20">
        <f t="shared" si="11"/>
        <v>0.11616161616161617</v>
      </c>
    </row>
    <row r="99" spans="1:12" x14ac:dyDescent="0.25">
      <c r="A99" s="16" t="s">
        <v>126</v>
      </c>
      <c r="B99" s="22">
        <v>5</v>
      </c>
      <c r="C99" s="18">
        <v>5</v>
      </c>
      <c r="D99" s="18">
        <v>5</v>
      </c>
      <c r="E99" s="18">
        <v>5</v>
      </c>
      <c r="F99" s="18">
        <v>0.2</v>
      </c>
      <c r="G99" s="22">
        <v>5</v>
      </c>
      <c r="H99" s="17" t="s">
        <v>131</v>
      </c>
      <c r="I99" s="22">
        <v>5</v>
      </c>
      <c r="J99" s="22">
        <v>5</v>
      </c>
      <c r="K99" s="19">
        <f t="shared" si="10"/>
        <v>35.200000000000003</v>
      </c>
      <c r="L99" s="20">
        <f t="shared" si="11"/>
        <v>0.22222222222222227</v>
      </c>
    </row>
    <row r="100" spans="1:12" x14ac:dyDescent="0.25">
      <c r="A100" s="16" t="s">
        <v>127</v>
      </c>
      <c r="B100" s="22">
        <v>0.2</v>
      </c>
      <c r="C100" s="18">
        <v>0.2</v>
      </c>
      <c r="D100" s="18">
        <v>0.2</v>
      </c>
      <c r="E100" s="18">
        <v>1</v>
      </c>
      <c r="F100" s="18">
        <v>0.2</v>
      </c>
      <c r="G100" s="22">
        <v>0.2</v>
      </c>
      <c r="H100" s="22">
        <v>0.2</v>
      </c>
      <c r="I100" s="17" t="s">
        <v>131</v>
      </c>
      <c r="J100" s="22">
        <v>1</v>
      </c>
      <c r="K100" s="19">
        <f t="shared" si="10"/>
        <v>3.2</v>
      </c>
      <c r="L100" s="20">
        <f t="shared" si="11"/>
        <v>2.0202020202020207E-2</v>
      </c>
    </row>
    <row r="101" spans="1:12" x14ac:dyDescent="0.25">
      <c r="A101" s="16" t="s">
        <v>128</v>
      </c>
      <c r="B101" s="75">
        <v>0.2</v>
      </c>
      <c r="C101" s="45">
        <v>0.2</v>
      </c>
      <c r="D101" s="18">
        <v>0.2</v>
      </c>
      <c r="E101" s="22">
        <v>1</v>
      </c>
      <c r="F101" s="22">
        <v>0.2</v>
      </c>
      <c r="G101" s="22">
        <v>0.2</v>
      </c>
      <c r="H101" s="22">
        <v>0.2</v>
      </c>
      <c r="I101" s="22">
        <v>1</v>
      </c>
      <c r="J101" s="17" t="s">
        <v>131</v>
      </c>
      <c r="K101" s="19">
        <f t="shared" si="10"/>
        <v>3.2</v>
      </c>
      <c r="L101" s="20">
        <f t="shared" si="11"/>
        <v>2.0202020202020207E-2</v>
      </c>
    </row>
    <row r="102" spans="1:12" x14ac:dyDescent="0.25">
      <c r="A102" s="133" t="s">
        <v>129</v>
      </c>
      <c r="B102" s="124"/>
      <c r="C102" s="124"/>
      <c r="D102" s="124"/>
      <c r="E102" s="124"/>
      <c r="F102" s="124"/>
      <c r="G102" s="124"/>
      <c r="H102" s="124"/>
      <c r="I102" s="124"/>
      <c r="J102" s="124"/>
      <c r="K102" s="18">
        <f>SUM(K93:K101)</f>
        <v>158.39999999999998</v>
      </c>
      <c r="L102" s="21">
        <f>SUM(L93:L101)</f>
        <v>1.0000000000000002</v>
      </c>
    </row>
    <row r="103" spans="1:12" x14ac:dyDescent="0.25">
      <c r="A103" s="81"/>
    </row>
    <row r="104" spans="1:12" ht="38.25" customHeight="1" x14ac:dyDescent="0.25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 x14ac:dyDescent="0.25">
      <c r="A105" s="125" t="s">
        <v>117</v>
      </c>
      <c r="B105" s="125" t="s">
        <v>137</v>
      </c>
      <c r="C105" s="126"/>
      <c r="D105" s="127"/>
    </row>
    <row r="106" spans="1:12" x14ac:dyDescent="0.25">
      <c r="A106" s="132"/>
      <c r="B106" s="128"/>
      <c r="C106" s="129"/>
      <c r="D106" s="130"/>
    </row>
    <row r="107" spans="1:12" x14ac:dyDescent="0.25">
      <c r="A107" s="123" t="s">
        <v>119</v>
      </c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09"/>
    </row>
    <row r="108" spans="1:12" ht="38.25" customHeight="1" x14ac:dyDescent="0.25">
      <c r="A108" s="14"/>
      <c r="B108" s="15" t="s">
        <v>120</v>
      </c>
      <c r="C108" s="15" t="s">
        <v>121</v>
      </c>
      <c r="D108" s="15" t="s">
        <v>122</v>
      </c>
      <c r="E108" s="15" t="s">
        <v>123</v>
      </c>
      <c r="F108" s="15" t="s">
        <v>124</v>
      </c>
      <c r="G108" s="15" t="s">
        <v>125</v>
      </c>
      <c r="H108" s="15" t="s">
        <v>126</v>
      </c>
      <c r="I108" s="15" t="s">
        <v>127</v>
      </c>
      <c r="J108" s="15" t="s">
        <v>128</v>
      </c>
      <c r="K108" s="15" t="s">
        <v>129</v>
      </c>
      <c r="L108" s="15" t="s">
        <v>130</v>
      </c>
    </row>
    <row r="109" spans="1:12" x14ac:dyDescent="0.25">
      <c r="A109" s="16" t="s">
        <v>120</v>
      </c>
      <c r="B109" s="17" t="s">
        <v>131</v>
      </c>
      <c r="C109" s="22">
        <v>1</v>
      </c>
      <c r="D109" s="22">
        <v>1</v>
      </c>
      <c r="E109" s="22">
        <v>5</v>
      </c>
      <c r="F109" s="22">
        <v>0.2</v>
      </c>
      <c r="G109" s="22">
        <v>1</v>
      </c>
      <c r="H109" s="22">
        <v>0.2</v>
      </c>
      <c r="I109" s="22">
        <v>5</v>
      </c>
      <c r="J109" s="22">
        <v>5</v>
      </c>
      <c r="K109" s="19">
        <f t="shared" ref="K109:K117" si="12">SUM(B109:J109)</f>
        <v>18.399999999999999</v>
      </c>
      <c r="L109" s="20">
        <f t="shared" ref="L109:L117" si="13">K109/$K$118</f>
        <v>0.11616161616161617</v>
      </c>
    </row>
    <row r="110" spans="1:12" x14ac:dyDescent="0.25">
      <c r="A110" s="16" t="s">
        <v>121</v>
      </c>
      <c r="B110" s="22">
        <v>1</v>
      </c>
      <c r="C110" s="17" t="s">
        <v>131</v>
      </c>
      <c r="D110" s="18">
        <v>1</v>
      </c>
      <c r="E110" s="18">
        <v>5</v>
      </c>
      <c r="F110" s="18">
        <v>0.2</v>
      </c>
      <c r="G110" s="18">
        <v>1</v>
      </c>
      <c r="H110" s="18">
        <v>0.2</v>
      </c>
      <c r="I110" s="18">
        <v>5</v>
      </c>
      <c r="J110" s="18">
        <v>5</v>
      </c>
      <c r="K110" s="19">
        <f t="shared" si="12"/>
        <v>18.399999999999999</v>
      </c>
      <c r="L110" s="20">
        <f t="shared" si="13"/>
        <v>0.11616161616161617</v>
      </c>
    </row>
    <row r="111" spans="1:12" x14ac:dyDescent="0.25">
      <c r="A111" s="16" t="s">
        <v>122</v>
      </c>
      <c r="B111" s="22">
        <v>1</v>
      </c>
      <c r="C111" s="18">
        <v>1</v>
      </c>
      <c r="D111" s="17" t="s">
        <v>131</v>
      </c>
      <c r="E111" s="18">
        <v>5</v>
      </c>
      <c r="F111" s="18">
        <v>0.2</v>
      </c>
      <c r="G111" s="18">
        <v>1</v>
      </c>
      <c r="H111" s="18">
        <v>0.2</v>
      </c>
      <c r="I111" s="18">
        <v>5</v>
      </c>
      <c r="J111" s="18">
        <v>5</v>
      </c>
      <c r="K111" s="19">
        <f t="shared" si="12"/>
        <v>18.399999999999999</v>
      </c>
      <c r="L111" s="20">
        <f t="shared" si="13"/>
        <v>0.11616161616161617</v>
      </c>
    </row>
    <row r="112" spans="1:12" x14ac:dyDescent="0.25">
      <c r="A112" s="16" t="s">
        <v>123</v>
      </c>
      <c r="B112" s="22">
        <v>0.2</v>
      </c>
      <c r="C112" s="18">
        <v>0.2</v>
      </c>
      <c r="D112" s="18">
        <v>0.2</v>
      </c>
      <c r="E112" s="17" t="s">
        <v>131</v>
      </c>
      <c r="F112" s="18">
        <v>0.2</v>
      </c>
      <c r="G112" s="18">
        <v>0.2</v>
      </c>
      <c r="H112" s="18">
        <v>0.2</v>
      </c>
      <c r="I112" s="18">
        <v>1</v>
      </c>
      <c r="J112" s="22">
        <v>1</v>
      </c>
      <c r="K112" s="19">
        <f t="shared" si="12"/>
        <v>3.2</v>
      </c>
      <c r="L112" s="20">
        <f t="shared" si="13"/>
        <v>2.0202020202020207E-2</v>
      </c>
    </row>
    <row r="113" spans="1:12" x14ac:dyDescent="0.25">
      <c r="A113" s="16" t="s">
        <v>124</v>
      </c>
      <c r="B113" s="22">
        <v>5</v>
      </c>
      <c r="C113" s="45">
        <v>5</v>
      </c>
      <c r="D113" s="18">
        <v>5</v>
      </c>
      <c r="E113" s="18">
        <v>5</v>
      </c>
      <c r="F113" s="17" t="s">
        <v>131</v>
      </c>
      <c r="G113" s="18">
        <v>5</v>
      </c>
      <c r="H113" s="18">
        <v>5</v>
      </c>
      <c r="I113" s="18">
        <v>5</v>
      </c>
      <c r="J113" s="22">
        <v>5</v>
      </c>
      <c r="K113" s="19">
        <f t="shared" si="12"/>
        <v>40</v>
      </c>
      <c r="L113" s="20">
        <f t="shared" si="13"/>
        <v>0.25252525252525254</v>
      </c>
    </row>
    <row r="114" spans="1:12" x14ac:dyDescent="0.25">
      <c r="A114" s="16" t="s">
        <v>125</v>
      </c>
      <c r="B114" s="22">
        <v>1</v>
      </c>
      <c r="C114" s="18">
        <v>1</v>
      </c>
      <c r="D114" s="18">
        <v>1</v>
      </c>
      <c r="E114" s="18">
        <v>5</v>
      </c>
      <c r="F114" s="18">
        <v>0.2</v>
      </c>
      <c r="G114" s="17" t="s">
        <v>131</v>
      </c>
      <c r="H114" s="22">
        <v>0.2</v>
      </c>
      <c r="I114" s="22">
        <v>5</v>
      </c>
      <c r="J114" s="22">
        <v>5</v>
      </c>
      <c r="K114" s="19">
        <f t="shared" si="12"/>
        <v>18.399999999999999</v>
      </c>
      <c r="L114" s="20">
        <f t="shared" si="13"/>
        <v>0.11616161616161617</v>
      </c>
    </row>
    <row r="115" spans="1:12" x14ac:dyDescent="0.25">
      <c r="A115" s="16" t="s">
        <v>126</v>
      </c>
      <c r="B115" s="22">
        <v>5</v>
      </c>
      <c r="C115" s="18">
        <v>5</v>
      </c>
      <c r="D115" s="18">
        <v>5</v>
      </c>
      <c r="E115" s="18">
        <v>5</v>
      </c>
      <c r="F115" s="18">
        <v>0.2</v>
      </c>
      <c r="G115" s="22">
        <v>5</v>
      </c>
      <c r="H115" s="17" t="s">
        <v>131</v>
      </c>
      <c r="I115" s="22">
        <v>5</v>
      </c>
      <c r="J115" s="22">
        <v>5</v>
      </c>
      <c r="K115" s="19">
        <f t="shared" si="12"/>
        <v>35.200000000000003</v>
      </c>
      <c r="L115" s="20">
        <f t="shared" si="13"/>
        <v>0.22222222222222227</v>
      </c>
    </row>
    <row r="116" spans="1:12" x14ac:dyDescent="0.25">
      <c r="A116" s="16" t="s">
        <v>127</v>
      </c>
      <c r="B116" s="22">
        <v>0.2</v>
      </c>
      <c r="C116" s="18">
        <v>0.2</v>
      </c>
      <c r="D116" s="18">
        <v>0.2</v>
      </c>
      <c r="E116" s="18">
        <v>1</v>
      </c>
      <c r="F116" s="18">
        <v>0.2</v>
      </c>
      <c r="G116" s="22">
        <v>0.2</v>
      </c>
      <c r="H116" s="22">
        <v>0.2</v>
      </c>
      <c r="I116" s="17" t="s">
        <v>131</v>
      </c>
      <c r="J116" s="22">
        <v>1</v>
      </c>
      <c r="K116" s="19">
        <f t="shared" si="12"/>
        <v>3.2</v>
      </c>
      <c r="L116" s="20">
        <f t="shared" si="13"/>
        <v>2.0202020202020207E-2</v>
      </c>
    </row>
    <row r="117" spans="1:12" x14ac:dyDescent="0.25">
      <c r="A117" s="16" t="s">
        <v>128</v>
      </c>
      <c r="B117" s="75">
        <v>0.2</v>
      </c>
      <c r="C117" s="45">
        <v>0.2</v>
      </c>
      <c r="D117" s="18">
        <v>0.2</v>
      </c>
      <c r="E117" s="22">
        <v>1</v>
      </c>
      <c r="F117" s="22">
        <v>0.2</v>
      </c>
      <c r="G117" s="22">
        <v>0.2</v>
      </c>
      <c r="H117" s="22">
        <v>0.2</v>
      </c>
      <c r="I117" s="22">
        <v>1</v>
      </c>
      <c r="J117" s="17" t="s">
        <v>131</v>
      </c>
      <c r="K117" s="19">
        <f t="shared" si="12"/>
        <v>3.2</v>
      </c>
      <c r="L117" s="20">
        <f t="shared" si="13"/>
        <v>2.0202020202020207E-2</v>
      </c>
    </row>
    <row r="118" spans="1:12" x14ac:dyDescent="0.25">
      <c r="A118" s="133" t="s">
        <v>129</v>
      </c>
      <c r="B118" s="124"/>
      <c r="C118" s="124"/>
      <c r="D118" s="124"/>
      <c r="E118" s="124"/>
      <c r="F118" s="124"/>
      <c r="G118" s="124"/>
      <c r="H118" s="124"/>
      <c r="I118" s="124"/>
      <c r="J118" s="124"/>
      <c r="K118" s="18">
        <f>SUM(K109:K117)</f>
        <v>158.39999999999998</v>
      </c>
      <c r="L118" s="21">
        <f>SUM(L109:L117)</f>
        <v>1.0000000000000002</v>
      </c>
    </row>
    <row r="119" spans="1:12" ht="38.25" customHeight="1" x14ac:dyDescent="0.25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12" x14ac:dyDescent="0.25">
      <c r="A120" s="16"/>
      <c r="B120" s="17"/>
      <c r="C120" s="18"/>
      <c r="D120" s="18"/>
      <c r="E120" s="18"/>
      <c r="F120" s="18"/>
      <c r="G120" s="18"/>
      <c r="H120" s="18"/>
      <c r="I120" s="18"/>
      <c r="J120" s="18"/>
      <c r="K120" s="19"/>
      <c r="L120" s="20"/>
    </row>
    <row r="121" spans="1:12" x14ac:dyDescent="0.25">
      <c r="A121" s="125" t="s">
        <v>117</v>
      </c>
      <c r="B121" s="125" t="s">
        <v>138</v>
      </c>
      <c r="C121" s="126"/>
      <c r="D121" s="127"/>
    </row>
    <row r="122" spans="1:12" x14ac:dyDescent="0.25">
      <c r="A122" s="132"/>
      <c r="B122" s="128"/>
      <c r="C122" s="129"/>
      <c r="D122" s="130"/>
    </row>
    <row r="123" spans="1:12" x14ac:dyDescent="0.25">
      <c r="A123" s="123" t="s">
        <v>119</v>
      </c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09"/>
    </row>
    <row r="124" spans="1:12" ht="38.25" customHeight="1" x14ac:dyDescent="0.25">
      <c r="A124" s="14"/>
      <c r="B124" s="15" t="s">
        <v>120</v>
      </c>
      <c r="C124" s="15" t="s">
        <v>121</v>
      </c>
      <c r="D124" s="15" t="s">
        <v>122</v>
      </c>
      <c r="E124" s="15" t="s">
        <v>123</v>
      </c>
      <c r="F124" s="15" t="s">
        <v>124</v>
      </c>
      <c r="G124" s="15" t="s">
        <v>125</v>
      </c>
      <c r="H124" s="15" t="s">
        <v>126</v>
      </c>
      <c r="I124" s="15" t="s">
        <v>127</v>
      </c>
      <c r="J124" s="15" t="s">
        <v>128</v>
      </c>
      <c r="K124" s="15" t="s">
        <v>129</v>
      </c>
      <c r="L124" s="15" t="s">
        <v>130</v>
      </c>
    </row>
    <row r="125" spans="1:12" x14ac:dyDescent="0.25">
      <c r="A125" s="16" t="s">
        <v>120</v>
      </c>
      <c r="B125" s="17" t="s">
        <v>131</v>
      </c>
      <c r="C125" s="22">
        <v>1</v>
      </c>
      <c r="D125" s="22">
        <v>1</v>
      </c>
      <c r="E125" s="22">
        <v>5</v>
      </c>
      <c r="F125" s="22">
        <v>0.2</v>
      </c>
      <c r="G125" s="22">
        <v>1</v>
      </c>
      <c r="H125" s="22">
        <v>0.2</v>
      </c>
      <c r="I125" s="22">
        <v>5</v>
      </c>
      <c r="J125" s="22">
        <v>5</v>
      </c>
      <c r="K125" s="19">
        <f t="shared" ref="K125:K133" si="14">SUM(B125:J125)</f>
        <v>18.399999999999999</v>
      </c>
      <c r="L125" s="20">
        <f t="shared" ref="L125:L133" si="15">K125/$K$134</f>
        <v>0.11616161616161617</v>
      </c>
    </row>
    <row r="126" spans="1:12" x14ac:dyDescent="0.25">
      <c r="A126" s="16" t="s">
        <v>121</v>
      </c>
      <c r="B126" s="22">
        <v>1</v>
      </c>
      <c r="C126" s="17" t="s">
        <v>131</v>
      </c>
      <c r="D126" s="18">
        <v>1</v>
      </c>
      <c r="E126" s="18">
        <v>5</v>
      </c>
      <c r="F126" s="18">
        <v>0.2</v>
      </c>
      <c r="G126" s="18">
        <v>1</v>
      </c>
      <c r="H126" s="18">
        <v>0.2</v>
      </c>
      <c r="I126" s="18">
        <v>5</v>
      </c>
      <c r="J126" s="18">
        <v>5</v>
      </c>
      <c r="K126" s="19">
        <f t="shared" si="14"/>
        <v>18.399999999999999</v>
      </c>
      <c r="L126" s="20">
        <f t="shared" si="15"/>
        <v>0.11616161616161617</v>
      </c>
    </row>
    <row r="127" spans="1:12" x14ac:dyDescent="0.25">
      <c r="A127" s="16" t="s">
        <v>122</v>
      </c>
      <c r="B127" s="22">
        <v>1</v>
      </c>
      <c r="C127" s="18">
        <v>1</v>
      </c>
      <c r="D127" s="17" t="s">
        <v>131</v>
      </c>
      <c r="E127" s="18">
        <v>5</v>
      </c>
      <c r="F127" s="18">
        <v>0.2</v>
      </c>
      <c r="G127" s="18">
        <v>1</v>
      </c>
      <c r="H127" s="18">
        <v>0.2</v>
      </c>
      <c r="I127" s="18">
        <v>5</v>
      </c>
      <c r="J127" s="18">
        <v>5</v>
      </c>
      <c r="K127" s="19">
        <f t="shared" si="14"/>
        <v>18.399999999999999</v>
      </c>
      <c r="L127" s="20">
        <f t="shared" si="15"/>
        <v>0.11616161616161617</v>
      </c>
    </row>
    <row r="128" spans="1:12" x14ac:dyDescent="0.25">
      <c r="A128" s="16" t="s">
        <v>123</v>
      </c>
      <c r="B128" s="22">
        <v>0.2</v>
      </c>
      <c r="C128" s="18">
        <v>0.2</v>
      </c>
      <c r="D128" s="18">
        <v>0.2</v>
      </c>
      <c r="E128" s="17" t="s">
        <v>131</v>
      </c>
      <c r="F128" s="18">
        <v>0.2</v>
      </c>
      <c r="G128" s="18">
        <v>0.2</v>
      </c>
      <c r="H128" s="18">
        <v>0.2</v>
      </c>
      <c r="I128" s="18">
        <v>1</v>
      </c>
      <c r="J128" s="22">
        <v>1</v>
      </c>
      <c r="K128" s="19">
        <f t="shared" si="14"/>
        <v>3.2</v>
      </c>
      <c r="L128" s="20">
        <f t="shared" si="15"/>
        <v>2.0202020202020207E-2</v>
      </c>
    </row>
    <row r="129" spans="1:12" x14ac:dyDescent="0.25">
      <c r="A129" s="16" t="s">
        <v>124</v>
      </c>
      <c r="B129" s="22">
        <v>5</v>
      </c>
      <c r="C129" s="45">
        <v>5</v>
      </c>
      <c r="D129" s="18">
        <v>5</v>
      </c>
      <c r="E129" s="18">
        <v>5</v>
      </c>
      <c r="F129" s="17" t="s">
        <v>131</v>
      </c>
      <c r="G129" s="18">
        <v>5</v>
      </c>
      <c r="H129" s="18">
        <v>5</v>
      </c>
      <c r="I129" s="18">
        <v>5</v>
      </c>
      <c r="J129" s="22">
        <v>5</v>
      </c>
      <c r="K129" s="19">
        <f t="shared" si="14"/>
        <v>40</v>
      </c>
      <c r="L129" s="20">
        <f t="shared" si="15"/>
        <v>0.25252525252525254</v>
      </c>
    </row>
    <row r="130" spans="1:12" x14ac:dyDescent="0.25">
      <c r="A130" s="16" t="s">
        <v>125</v>
      </c>
      <c r="B130" s="22">
        <v>1</v>
      </c>
      <c r="C130" s="18">
        <v>1</v>
      </c>
      <c r="D130" s="18">
        <v>1</v>
      </c>
      <c r="E130" s="18">
        <v>5</v>
      </c>
      <c r="F130" s="18">
        <v>0.2</v>
      </c>
      <c r="G130" s="17" t="s">
        <v>131</v>
      </c>
      <c r="H130" s="22">
        <v>0.2</v>
      </c>
      <c r="I130" s="22">
        <v>5</v>
      </c>
      <c r="J130" s="22">
        <v>5</v>
      </c>
      <c r="K130" s="19">
        <f t="shared" si="14"/>
        <v>18.399999999999999</v>
      </c>
      <c r="L130" s="20">
        <f t="shared" si="15"/>
        <v>0.11616161616161617</v>
      </c>
    </row>
    <row r="131" spans="1:12" x14ac:dyDescent="0.25">
      <c r="A131" s="16" t="s">
        <v>126</v>
      </c>
      <c r="B131" s="22">
        <v>5</v>
      </c>
      <c r="C131" s="18">
        <v>5</v>
      </c>
      <c r="D131" s="18">
        <v>5</v>
      </c>
      <c r="E131" s="18">
        <v>5</v>
      </c>
      <c r="F131" s="18">
        <v>0.2</v>
      </c>
      <c r="G131" s="22">
        <v>5</v>
      </c>
      <c r="H131" s="17" t="s">
        <v>131</v>
      </c>
      <c r="I131" s="22">
        <v>5</v>
      </c>
      <c r="J131" s="22">
        <v>5</v>
      </c>
      <c r="K131" s="19">
        <f t="shared" si="14"/>
        <v>35.200000000000003</v>
      </c>
      <c r="L131" s="20">
        <f t="shared" si="15"/>
        <v>0.22222222222222227</v>
      </c>
    </row>
    <row r="132" spans="1:12" x14ac:dyDescent="0.25">
      <c r="A132" s="16" t="s">
        <v>127</v>
      </c>
      <c r="B132" s="22">
        <v>0.2</v>
      </c>
      <c r="C132" s="18">
        <v>0.2</v>
      </c>
      <c r="D132" s="18">
        <v>0.2</v>
      </c>
      <c r="E132" s="18">
        <v>1</v>
      </c>
      <c r="F132" s="18">
        <v>0.2</v>
      </c>
      <c r="G132" s="22">
        <v>0.2</v>
      </c>
      <c r="H132" s="22">
        <v>0.2</v>
      </c>
      <c r="I132" s="17" t="s">
        <v>131</v>
      </c>
      <c r="J132" s="22">
        <v>1</v>
      </c>
      <c r="K132" s="19">
        <f t="shared" si="14"/>
        <v>3.2</v>
      </c>
      <c r="L132" s="20">
        <f t="shared" si="15"/>
        <v>2.0202020202020207E-2</v>
      </c>
    </row>
    <row r="133" spans="1:12" x14ac:dyDescent="0.25">
      <c r="A133" s="16" t="s">
        <v>128</v>
      </c>
      <c r="B133" s="75">
        <v>0.2</v>
      </c>
      <c r="C133" s="45">
        <v>0.2</v>
      </c>
      <c r="D133" s="18">
        <v>0.2</v>
      </c>
      <c r="E133" s="22">
        <v>1</v>
      </c>
      <c r="F133" s="22">
        <v>0.2</v>
      </c>
      <c r="G133" s="22">
        <v>0.2</v>
      </c>
      <c r="H133" s="22">
        <v>0.2</v>
      </c>
      <c r="I133" s="22">
        <v>1</v>
      </c>
      <c r="J133" s="17" t="s">
        <v>131</v>
      </c>
      <c r="K133" s="19">
        <f t="shared" si="14"/>
        <v>3.2</v>
      </c>
      <c r="L133" s="20">
        <f t="shared" si="15"/>
        <v>2.0202020202020207E-2</v>
      </c>
    </row>
    <row r="134" spans="1:12" ht="38.25" customHeight="1" x14ac:dyDescent="0.25">
      <c r="A134" s="133" t="s">
        <v>129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8">
        <f>SUM(K125:K133)</f>
        <v>158.39999999999998</v>
      </c>
      <c r="L134" s="21">
        <f>SUM(L125:L133)</f>
        <v>1.0000000000000002</v>
      </c>
    </row>
    <row r="135" spans="1:12" x14ac:dyDescent="0.25">
      <c r="A135" s="16"/>
      <c r="B135" s="17"/>
      <c r="C135" s="18"/>
      <c r="D135" s="18"/>
      <c r="E135" s="18"/>
      <c r="F135" s="18"/>
      <c r="G135" s="18"/>
      <c r="H135" s="18"/>
      <c r="I135" s="18"/>
      <c r="J135" s="18"/>
      <c r="K135" s="19"/>
      <c r="L135" s="20"/>
    </row>
    <row r="136" spans="1:12" x14ac:dyDescent="0.25">
      <c r="A136" s="16"/>
      <c r="B136" s="18"/>
      <c r="C136" s="17"/>
      <c r="D136" s="18"/>
      <c r="E136" s="18"/>
      <c r="F136" s="18"/>
      <c r="G136" s="18"/>
      <c r="H136" s="18"/>
      <c r="I136" s="18"/>
      <c r="J136" s="18"/>
      <c r="K136" s="19"/>
      <c r="L136" s="20"/>
    </row>
    <row r="137" spans="1:12" x14ac:dyDescent="0.25">
      <c r="A137" s="125" t="s">
        <v>117</v>
      </c>
      <c r="B137" s="125" t="s">
        <v>139</v>
      </c>
      <c r="C137" s="126"/>
      <c r="D137" s="127"/>
    </row>
    <row r="138" spans="1:12" x14ac:dyDescent="0.25">
      <c r="A138" s="132"/>
      <c r="B138" s="128"/>
      <c r="C138" s="129"/>
      <c r="D138" s="130"/>
    </row>
    <row r="139" spans="1:12" x14ac:dyDescent="0.25">
      <c r="A139" s="123" t="s">
        <v>119</v>
      </c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09"/>
    </row>
    <row r="140" spans="1:12" ht="38.25" customHeight="1" x14ac:dyDescent="0.25">
      <c r="A140" s="14"/>
      <c r="B140" s="15" t="s">
        <v>120</v>
      </c>
      <c r="C140" s="15" t="s">
        <v>121</v>
      </c>
      <c r="D140" s="15" t="s">
        <v>122</v>
      </c>
      <c r="E140" s="15" t="s">
        <v>123</v>
      </c>
      <c r="F140" s="15" t="s">
        <v>124</v>
      </c>
      <c r="G140" s="15" t="s">
        <v>125</v>
      </c>
      <c r="H140" s="15" t="s">
        <v>126</v>
      </c>
      <c r="I140" s="15" t="s">
        <v>127</v>
      </c>
      <c r="J140" s="15" t="s">
        <v>128</v>
      </c>
      <c r="K140" s="15" t="s">
        <v>129</v>
      </c>
      <c r="L140" s="15" t="s">
        <v>130</v>
      </c>
    </row>
    <row r="141" spans="1:12" x14ac:dyDescent="0.25">
      <c r="A141" s="16" t="s">
        <v>120</v>
      </c>
      <c r="B141" s="17" t="s">
        <v>131</v>
      </c>
      <c r="C141" s="22">
        <v>5</v>
      </c>
      <c r="D141" s="22">
        <v>5</v>
      </c>
      <c r="E141" s="22">
        <v>10</v>
      </c>
      <c r="F141" s="22">
        <v>5</v>
      </c>
      <c r="G141" s="22">
        <v>5</v>
      </c>
      <c r="H141" s="22">
        <v>5</v>
      </c>
      <c r="I141" s="22">
        <v>10</v>
      </c>
      <c r="J141" s="22">
        <v>10</v>
      </c>
      <c r="K141" s="19">
        <f t="shared" ref="K141:K149" si="16">SUM(B141:J141)</f>
        <v>55</v>
      </c>
      <c r="L141" s="20">
        <f t="shared" ref="L141:L149" si="17">K141/$K$150</f>
        <v>0.34310667498440428</v>
      </c>
    </row>
    <row r="142" spans="1:12" x14ac:dyDescent="0.25">
      <c r="A142" s="16" t="s">
        <v>121</v>
      </c>
      <c r="B142" s="22">
        <v>0.2</v>
      </c>
      <c r="C142" s="17" t="s">
        <v>131</v>
      </c>
      <c r="D142" s="18">
        <v>1</v>
      </c>
      <c r="E142" s="18">
        <v>5</v>
      </c>
      <c r="F142" s="18">
        <v>1</v>
      </c>
      <c r="G142" s="18">
        <v>1</v>
      </c>
      <c r="H142" s="18">
        <v>1</v>
      </c>
      <c r="I142" s="18">
        <v>5</v>
      </c>
      <c r="J142" s="18">
        <v>5</v>
      </c>
      <c r="K142" s="19">
        <f t="shared" si="16"/>
        <v>19.2</v>
      </c>
      <c r="L142" s="20">
        <f t="shared" si="17"/>
        <v>0.11977542108546477</v>
      </c>
    </row>
    <row r="143" spans="1:12" x14ac:dyDescent="0.25">
      <c r="A143" s="16" t="s">
        <v>122</v>
      </c>
      <c r="B143" s="22">
        <v>0.2</v>
      </c>
      <c r="C143" s="18">
        <v>1</v>
      </c>
      <c r="D143" s="17" t="s">
        <v>131</v>
      </c>
      <c r="E143" s="18">
        <v>5</v>
      </c>
      <c r="F143" s="18">
        <v>1</v>
      </c>
      <c r="G143" s="18">
        <v>1</v>
      </c>
      <c r="H143" s="18">
        <v>1</v>
      </c>
      <c r="I143" s="18">
        <v>5</v>
      </c>
      <c r="J143" s="18">
        <v>5</v>
      </c>
      <c r="K143" s="19">
        <f t="shared" si="16"/>
        <v>19.2</v>
      </c>
      <c r="L143" s="20">
        <f t="shared" si="17"/>
        <v>0.11977542108546477</v>
      </c>
    </row>
    <row r="144" spans="1:12" x14ac:dyDescent="0.25">
      <c r="A144" s="16" t="s">
        <v>123</v>
      </c>
      <c r="B144" s="22">
        <v>0.1</v>
      </c>
      <c r="C144" s="18">
        <v>0.2</v>
      </c>
      <c r="D144" s="18">
        <v>0.2</v>
      </c>
      <c r="E144" s="17" t="s">
        <v>131</v>
      </c>
      <c r="F144" s="18">
        <v>0.2</v>
      </c>
      <c r="G144" s="18">
        <v>0.2</v>
      </c>
      <c r="H144" s="18">
        <v>0.2</v>
      </c>
      <c r="I144" s="18">
        <v>1</v>
      </c>
      <c r="J144" s="22">
        <v>1</v>
      </c>
      <c r="K144" s="19">
        <f t="shared" si="16"/>
        <v>3.0999999999999996</v>
      </c>
      <c r="L144" s="20">
        <f t="shared" si="17"/>
        <v>1.9338739862757331E-2</v>
      </c>
    </row>
    <row r="145" spans="1:12" x14ac:dyDescent="0.25">
      <c r="A145" s="16" t="s">
        <v>124</v>
      </c>
      <c r="B145" s="22">
        <v>0.2</v>
      </c>
      <c r="C145" s="45">
        <v>1</v>
      </c>
      <c r="D145" s="18">
        <v>1</v>
      </c>
      <c r="E145" s="18">
        <v>5</v>
      </c>
      <c r="F145" s="17" t="s">
        <v>131</v>
      </c>
      <c r="G145" s="18">
        <v>1</v>
      </c>
      <c r="H145" s="18">
        <v>1</v>
      </c>
      <c r="I145" s="18">
        <v>5</v>
      </c>
      <c r="J145" s="22">
        <v>5</v>
      </c>
      <c r="K145" s="19">
        <f t="shared" si="16"/>
        <v>19.2</v>
      </c>
      <c r="L145" s="20">
        <f t="shared" si="17"/>
        <v>0.11977542108546477</v>
      </c>
    </row>
    <row r="146" spans="1:12" x14ac:dyDescent="0.25">
      <c r="A146" s="16" t="s">
        <v>125</v>
      </c>
      <c r="B146" s="22">
        <v>0.2</v>
      </c>
      <c r="C146" s="18">
        <v>1</v>
      </c>
      <c r="D146" s="18">
        <v>1</v>
      </c>
      <c r="E146" s="18">
        <v>5</v>
      </c>
      <c r="F146" s="18">
        <v>1</v>
      </c>
      <c r="G146" s="17" t="s">
        <v>131</v>
      </c>
      <c r="H146" s="22">
        <v>1</v>
      </c>
      <c r="I146" s="22">
        <v>5</v>
      </c>
      <c r="J146" s="22">
        <v>5</v>
      </c>
      <c r="K146" s="19">
        <f t="shared" si="16"/>
        <v>19.2</v>
      </c>
      <c r="L146" s="20">
        <f t="shared" si="17"/>
        <v>0.11977542108546477</v>
      </c>
    </row>
    <row r="147" spans="1:12" x14ac:dyDescent="0.25">
      <c r="A147" s="16" t="s">
        <v>126</v>
      </c>
      <c r="B147" s="22">
        <v>0.2</v>
      </c>
      <c r="C147" s="18">
        <v>1</v>
      </c>
      <c r="D147" s="18">
        <v>1</v>
      </c>
      <c r="E147" s="18">
        <v>5</v>
      </c>
      <c r="F147" s="18">
        <v>1</v>
      </c>
      <c r="G147" s="22">
        <v>1</v>
      </c>
      <c r="H147" s="17" t="s">
        <v>131</v>
      </c>
      <c r="I147" s="22">
        <v>5</v>
      </c>
      <c r="J147" s="22">
        <v>5</v>
      </c>
      <c r="K147" s="19">
        <f t="shared" si="16"/>
        <v>19.2</v>
      </c>
      <c r="L147" s="20">
        <f t="shared" si="17"/>
        <v>0.11977542108546477</v>
      </c>
    </row>
    <row r="148" spans="1:12" x14ac:dyDescent="0.25">
      <c r="A148" s="16" t="s">
        <v>127</v>
      </c>
      <c r="B148" s="22">
        <v>0.1</v>
      </c>
      <c r="C148" s="18">
        <v>0.2</v>
      </c>
      <c r="D148" s="18">
        <v>0.2</v>
      </c>
      <c r="E148" s="18">
        <v>1</v>
      </c>
      <c r="F148" s="18">
        <v>0.2</v>
      </c>
      <c r="G148" s="22">
        <v>0.2</v>
      </c>
      <c r="H148" s="22">
        <v>0.2</v>
      </c>
      <c r="I148" s="17" t="s">
        <v>131</v>
      </c>
      <c r="J148" s="22">
        <v>1</v>
      </c>
      <c r="K148" s="19">
        <f t="shared" si="16"/>
        <v>3.1</v>
      </c>
      <c r="L148" s="20">
        <f t="shared" si="17"/>
        <v>1.9338739862757331E-2</v>
      </c>
    </row>
    <row r="149" spans="1:12" ht="38.25" customHeight="1" x14ac:dyDescent="0.25">
      <c r="A149" s="16" t="s">
        <v>128</v>
      </c>
      <c r="B149" s="75">
        <v>0.1</v>
      </c>
      <c r="C149" s="45">
        <v>0.2</v>
      </c>
      <c r="D149" s="18">
        <v>0.2</v>
      </c>
      <c r="E149" s="22">
        <v>1</v>
      </c>
      <c r="F149" s="22">
        <v>0.2</v>
      </c>
      <c r="G149" s="22">
        <v>0.2</v>
      </c>
      <c r="H149" s="22">
        <v>0.2</v>
      </c>
      <c r="I149" s="22">
        <v>1</v>
      </c>
      <c r="J149" s="17" t="s">
        <v>131</v>
      </c>
      <c r="K149" s="19">
        <f t="shared" si="16"/>
        <v>3.1</v>
      </c>
      <c r="L149" s="20">
        <f t="shared" si="17"/>
        <v>1.9338739862757331E-2</v>
      </c>
    </row>
    <row r="150" spans="1:12" x14ac:dyDescent="0.25">
      <c r="A150" s="133" t="s">
        <v>129</v>
      </c>
      <c r="B150" s="124"/>
      <c r="C150" s="124"/>
      <c r="D150" s="124"/>
      <c r="E150" s="124"/>
      <c r="F150" s="124"/>
      <c r="G150" s="124"/>
      <c r="H150" s="124"/>
      <c r="I150" s="124"/>
      <c r="J150" s="124"/>
      <c r="K150" s="18">
        <f>SUM(K141:K149)</f>
        <v>160.29999999999998</v>
      </c>
      <c r="L150" s="21">
        <f>SUM(L141:L149)</f>
        <v>1.0000000000000002</v>
      </c>
    </row>
    <row r="151" spans="1:12" x14ac:dyDescent="0.25">
      <c r="A151" s="16"/>
      <c r="B151" s="18"/>
      <c r="C151" s="17"/>
      <c r="D151" s="18"/>
      <c r="E151" s="18"/>
      <c r="F151" s="18"/>
      <c r="G151" s="18"/>
      <c r="H151" s="18"/>
      <c r="I151" s="18"/>
      <c r="J151" s="18"/>
      <c r="K151" s="19"/>
      <c r="L151" s="20"/>
    </row>
    <row r="152" spans="1:12" x14ac:dyDescent="0.25">
      <c r="A152" s="16"/>
      <c r="B152" s="18"/>
      <c r="C152" s="18"/>
      <c r="D152" s="17"/>
      <c r="E152" s="18"/>
      <c r="F152" s="18"/>
      <c r="G152" s="18"/>
      <c r="H152" s="18"/>
      <c r="I152" s="18"/>
      <c r="J152" s="18"/>
      <c r="K152" s="19"/>
      <c r="L152" s="20"/>
    </row>
    <row r="153" spans="1:12" x14ac:dyDescent="0.25">
      <c r="A153" s="125" t="s">
        <v>117</v>
      </c>
      <c r="B153" s="125" t="s">
        <v>140</v>
      </c>
      <c r="C153" s="126"/>
      <c r="D153" s="127"/>
    </row>
    <row r="154" spans="1:12" x14ac:dyDescent="0.25">
      <c r="A154" s="132"/>
      <c r="B154" s="128"/>
      <c r="C154" s="129"/>
      <c r="D154" s="130"/>
    </row>
    <row r="155" spans="1:12" x14ac:dyDescent="0.25">
      <c r="A155" s="123" t="s">
        <v>119</v>
      </c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09"/>
    </row>
    <row r="156" spans="1:12" ht="38.25" customHeight="1" x14ac:dyDescent="0.25">
      <c r="A156" s="14"/>
      <c r="B156" s="15" t="s">
        <v>120</v>
      </c>
      <c r="C156" s="15" t="s">
        <v>121</v>
      </c>
      <c r="D156" s="15" t="s">
        <v>122</v>
      </c>
      <c r="E156" s="15" t="s">
        <v>123</v>
      </c>
      <c r="F156" s="15" t="s">
        <v>124</v>
      </c>
      <c r="G156" s="15" t="s">
        <v>125</v>
      </c>
      <c r="H156" s="15" t="s">
        <v>126</v>
      </c>
      <c r="I156" s="15" t="s">
        <v>127</v>
      </c>
      <c r="J156" s="15" t="s">
        <v>128</v>
      </c>
      <c r="K156" s="15" t="s">
        <v>129</v>
      </c>
      <c r="L156" s="15" t="s">
        <v>130</v>
      </c>
    </row>
    <row r="157" spans="1:12" x14ac:dyDescent="0.25">
      <c r="A157" s="16" t="s">
        <v>120</v>
      </c>
      <c r="B157" s="17" t="s">
        <v>131</v>
      </c>
      <c r="C157" s="22">
        <v>0.1</v>
      </c>
      <c r="D157" s="22">
        <v>0.2</v>
      </c>
      <c r="E157" s="22">
        <v>1</v>
      </c>
      <c r="F157" s="22">
        <v>0.2</v>
      </c>
      <c r="G157" s="22">
        <v>0.1</v>
      </c>
      <c r="H157" s="22">
        <v>0.2</v>
      </c>
      <c r="I157" s="22">
        <v>1</v>
      </c>
      <c r="J157" s="22">
        <v>1</v>
      </c>
      <c r="K157" s="19">
        <f t="shared" ref="K157:K165" si="18">SUM(B157:J157)</f>
        <v>3.8</v>
      </c>
      <c r="L157" s="20">
        <f t="shared" ref="L157:L165" si="19">K157/$K$166</f>
        <v>1.9066733567486199E-2</v>
      </c>
    </row>
    <row r="158" spans="1:12" x14ac:dyDescent="0.25">
      <c r="A158" s="16" t="s">
        <v>121</v>
      </c>
      <c r="B158" s="22">
        <v>10</v>
      </c>
      <c r="C158" s="17" t="s">
        <v>131</v>
      </c>
      <c r="D158" s="18">
        <v>5</v>
      </c>
      <c r="E158" s="18">
        <v>10</v>
      </c>
      <c r="F158" s="18">
        <v>5</v>
      </c>
      <c r="G158" s="18">
        <v>1</v>
      </c>
      <c r="H158" s="18">
        <v>10</v>
      </c>
      <c r="I158" s="18">
        <v>10</v>
      </c>
      <c r="J158" s="18">
        <v>10</v>
      </c>
      <c r="K158" s="19">
        <f t="shared" si="18"/>
        <v>61</v>
      </c>
      <c r="L158" s="20">
        <f t="shared" si="19"/>
        <v>0.30607124937280478</v>
      </c>
    </row>
    <row r="159" spans="1:12" x14ac:dyDescent="0.25">
      <c r="A159" s="16" t="s">
        <v>122</v>
      </c>
      <c r="B159" s="22">
        <v>5</v>
      </c>
      <c r="C159" s="18">
        <v>0.2</v>
      </c>
      <c r="D159" s="17" t="s">
        <v>131</v>
      </c>
      <c r="E159" s="18">
        <v>5</v>
      </c>
      <c r="F159" s="18">
        <v>1</v>
      </c>
      <c r="G159" s="18">
        <v>0.2</v>
      </c>
      <c r="H159" s="18">
        <v>1</v>
      </c>
      <c r="I159" s="18">
        <v>5</v>
      </c>
      <c r="J159" s="18">
        <v>5</v>
      </c>
      <c r="K159" s="19">
        <f t="shared" si="18"/>
        <v>22.4</v>
      </c>
      <c r="L159" s="20">
        <f t="shared" si="19"/>
        <v>0.11239337681886602</v>
      </c>
    </row>
    <row r="160" spans="1:12" x14ac:dyDescent="0.25">
      <c r="A160" s="16" t="s">
        <v>123</v>
      </c>
      <c r="B160" s="22">
        <v>1</v>
      </c>
      <c r="C160" s="18">
        <v>0.1</v>
      </c>
      <c r="D160" s="18">
        <v>0.2</v>
      </c>
      <c r="E160" s="17" t="s">
        <v>131</v>
      </c>
      <c r="F160" s="18">
        <v>0.2</v>
      </c>
      <c r="G160" s="18">
        <v>0.1</v>
      </c>
      <c r="H160" s="18">
        <v>0.2</v>
      </c>
      <c r="I160" s="18">
        <v>1</v>
      </c>
      <c r="J160" s="22">
        <v>1</v>
      </c>
      <c r="K160" s="19">
        <f t="shared" si="18"/>
        <v>3.8</v>
      </c>
      <c r="L160" s="20">
        <f t="shared" si="19"/>
        <v>1.9066733567486199E-2</v>
      </c>
    </row>
    <row r="161" spans="1:12" x14ac:dyDescent="0.25">
      <c r="A161" s="16" t="s">
        <v>124</v>
      </c>
      <c r="B161" s="22">
        <v>5</v>
      </c>
      <c r="C161" s="45">
        <v>0.2</v>
      </c>
      <c r="D161" s="18">
        <v>1</v>
      </c>
      <c r="E161" s="18">
        <v>5</v>
      </c>
      <c r="F161" s="17" t="s">
        <v>131</v>
      </c>
      <c r="G161" s="18">
        <v>0.2</v>
      </c>
      <c r="H161" s="18">
        <v>1</v>
      </c>
      <c r="I161" s="18">
        <v>5</v>
      </c>
      <c r="J161" s="22">
        <v>5</v>
      </c>
      <c r="K161" s="19">
        <f t="shared" si="18"/>
        <v>22.4</v>
      </c>
      <c r="L161" s="20">
        <f t="shared" si="19"/>
        <v>0.11239337681886602</v>
      </c>
    </row>
    <row r="162" spans="1:12" x14ac:dyDescent="0.25">
      <c r="A162" s="16" t="s">
        <v>125</v>
      </c>
      <c r="B162" s="22">
        <v>10</v>
      </c>
      <c r="C162" s="18">
        <v>1</v>
      </c>
      <c r="D162" s="18">
        <v>5</v>
      </c>
      <c r="E162" s="18">
        <v>10</v>
      </c>
      <c r="F162" s="18">
        <v>5</v>
      </c>
      <c r="G162" s="17" t="s">
        <v>131</v>
      </c>
      <c r="H162" s="22">
        <v>5</v>
      </c>
      <c r="I162" s="22">
        <v>10</v>
      </c>
      <c r="J162" s="22">
        <v>10</v>
      </c>
      <c r="K162" s="19">
        <f t="shared" si="18"/>
        <v>56</v>
      </c>
      <c r="L162" s="20">
        <f t="shared" si="19"/>
        <v>0.28098344204716508</v>
      </c>
    </row>
    <row r="163" spans="1:12" x14ac:dyDescent="0.25">
      <c r="A163" s="16" t="s">
        <v>126</v>
      </c>
      <c r="B163" s="22">
        <v>5</v>
      </c>
      <c r="C163" s="18">
        <v>0.1</v>
      </c>
      <c r="D163" s="18">
        <v>1</v>
      </c>
      <c r="E163" s="18">
        <v>5</v>
      </c>
      <c r="F163" s="18">
        <v>1</v>
      </c>
      <c r="G163" s="22">
        <v>0.2</v>
      </c>
      <c r="H163" s="17" t="s">
        <v>131</v>
      </c>
      <c r="I163" s="22">
        <v>5</v>
      </c>
      <c r="J163" s="22">
        <v>5</v>
      </c>
      <c r="K163" s="19">
        <f t="shared" si="18"/>
        <v>22.299999999999997</v>
      </c>
      <c r="L163" s="20">
        <f t="shared" si="19"/>
        <v>0.11189162067235321</v>
      </c>
    </row>
    <row r="164" spans="1:12" ht="38.25" customHeight="1" x14ac:dyDescent="0.25">
      <c r="A164" s="16" t="s">
        <v>127</v>
      </c>
      <c r="B164" s="22">
        <v>1</v>
      </c>
      <c r="C164" s="18">
        <v>0.1</v>
      </c>
      <c r="D164" s="18">
        <v>0.2</v>
      </c>
      <c r="E164" s="18">
        <v>1</v>
      </c>
      <c r="F164" s="18">
        <v>0.2</v>
      </c>
      <c r="G164" s="22">
        <v>0.1</v>
      </c>
      <c r="H164" s="22">
        <v>0.2</v>
      </c>
      <c r="I164" s="17" t="s">
        <v>131</v>
      </c>
      <c r="J164" s="22">
        <v>1</v>
      </c>
      <c r="K164" s="19">
        <f t="shared" si="18"/>
        <v>3.8000000000000003</v>
      </c>
      <c r="L164" s="20">
        <f t="shared" si="19"/>
        <v>1.9066733567486203E-2</v>
      </c>
    </row>
    <row r="165" spans="1:12" x14ac:dyDescent="0.25">
      <c r="A165" s="16" t="s">
        <v>128</v>
      </c>
      <c r="B165" s="75">
        <v>1</v>
      </c>
      <c r="C165" s="45">
        <v>0.1</v>
      </c>
      <c r="D165" s="18">
        <v>0.2</v>
      </c>
      <c r="E165" s="22">
        <v>1</v>
      </c>
      <c r="F165" s="22">
        <v>0.2</v>
      </c>
      <c r="G165" s="22">
        <v>0.1</v>
      </c>
      <c r="H165" s="22">
        <v>0.2</v>
      </c>
      <c r="I165" s="22">
        <v>1</v>
      </c>
      <c r="J165" s="17" t="s">
        <v>131</v>
      </c>
      <c r="K165" s="19">
        <f t="shared" si="18"/>
        <v>3.8000000000000003</v>
      </c>
      <c r="L165" s="20">
        <f t="shared" si="19"/>
        <v>1.9066733567486203E-2</v>
      </c>
    </row>
    <row r="166" spans="1:12" x14ac:dyDescent="0.25">
      <c r="A166" s="133" t="s">
        <v>129</v>
      </c>
      <c r="B166" s="124"/>
      <c r="C166" s="124"/>
      <c r="D166" s="124"/>
      <c r="E166" s="124"/>
      <c r="F166" s="124"/>
      <c r="G166" s="124"/>
      <c r="H166" s="124"/>
      <c r="I166" s="124"/>
      <c r="J166" s="124"/>
      <c r="K166" s="18">
        <f>SUM(K157:K165)</f>
        <v>199.3</v>
      </c>
      <c r="L166" s="21">
        <f>SUM(L157:L165)</f>
        <v>1</v>
      </c>
    </row>
    <row r="167" spans="1:12" x14ac:dyDescent="0.25">
      <c r="A167" s="16"/>
      <c r="B167" s="18"/>
      <c r="C167" s="18"/>
      <c r="D167" s="17"/>
      <c r="E167" s="18"/>
      <c r="F167" s="18"/>
      <c r="G167" s="18"/>
      <c r="H167" s="18"/>
      <c r="I167" s="18"/>
      <c r="J167" s="18"/>
      <c r="K167" s="19"/>
      <c r="L167" s="20"/>
    </row>
    <row r="168" spans="1:12" x14ac:dyDescent="0.25">
      <c r="A168" s="16"/>
      <c r="B168" s="18"/>
      <c r="C168" s="18"/>
      <c r="D168" s="18"/>
      <c r="E168" s="17"/>
      <c r="F168" s="22"/>
      <c r="G168" s="22"/>
      <c r="H168" s="22"/>
      <c r="I168" s="22"/>
      <c r="J168" s="22"/>
      <c r="K168" s="19"/>
      <c r="L168" s="20"/>
    </row>
    <row r="169" spans="1:12" x14ac:dyDescent="0.25">
      <c r="A169" s="125" t="s">
        <v>117</v>
      </c>
      <c r="B169" s="125" t="s">
        <v>141</v>
      </c>
      <c r="C169" s="126"/>
      <c r="D169" s="127"/>
    </row>
    <row r="170" spans="1:12" x14ac:dyDescent="0.25">
      <c r="A170" s="132"/>
      <c r="B170" s="128"/>
      <c r="C170" s="129"/>
      <c r="D170" s="130"/>
    </row>
    <row r="171" spans="1:12" x14ac:dyDescent="0.25">
      <c r="A171" s="123" t="s">
        <v>119</v>
      </c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09"/>
    </row>
    <row r="172" spans="1:12" ht="38.25" customHeight="1" x14ac:dyDescent="0.25">
      <c r="A172" s="14"/>
      <c r="B172" s="15" t="s">
        <v>120</v>
      </c>
      <c r="C172" s="15" t="s">
        <v>121</v>
      </c>
      <c r="D172" s="15" t="s">
        <v>122</v>
      </c>
      <c r="E172" s="15" t="s">
        <v>123</v>
      </c>
      <c r="F172" s="15" t="s">
        <v>124</v>
      </c>
      <c r="G172" s="15" t="s">
        <v>125</v>
      </c>
      <c r="H172" s="15" t="s">
        <v>126</v>
      </c>
      <c r="I172" s="15" t="s">
        <v>127</v>
      </c>
      <c r="J172" s="15" t="s">
        <v>128</v>
      </c>
      <c r="K172" s="15" t="s">
        <v>129</v>
      </c>
      <c r="L172" s="15" t="s">
        <v>130</v>
      </c>
    </row>
    <row r="173" spans="1:12" x14ac:dyDescent="0.25">
      <c r="A173" s="16" t="s">
        <v>120</v>
      </c>
      <c r="B173" s="17" t="s">
        <v>131</v>
      </c>
      <c r="C173" s="22">
        <v>0.1</v>
      </c>
      <c r="D173" s="22">
        <v>0.2</v>
      </c>
      <c r="E173" s="22">
        <v>1</v>
      </c>
      <c r="F173" s="22">
        <v>0.2</v>
      </c>
      <c r="G173" s="22">
        <v>0.1</v>
      </c>
      <c r="H173" s="22">
        <v>0.2</v>
      </c>
      <c r="I173" s="22">
        <v>1</v>
      </c>
      <c r="J173" s="22">
        <v>1</v>
      </c>
      <c r="K173" s="19">
        <f t="shared" ref="K173:K181" si="20">SUM(B173:J173)</f>
        <v>3.8</v>
      </c>
      <c r="L173" s="20">
        <f t="shared" ref="L173:L181" si="21">K173/$K$182</f>
        <v>1.9066733567486199E-2</v>
      </c>
    </row>
    <row r="174" spans="1:12" x14ac:dyDescent="0.25">
      <c r="A174" s="16" t="s">
        <v>121</v>
      </c>
      <c r="B174" s="22">
        <v>10</v>
      </c>
      <c r="C174" s="17" t="s">
        <v>131</v>
      </c>
      <c r="D174" s="18">
        <v>5</v>
      </c>
      <c r="E174" s="18">
        <v>10</v>
      </c>
      <c r="F174" s="18">
        <v>5</v>
      </c>
      <c r="G174" s="18">
        <v>1</v>
      </c>
      <c r="H174" s="18">
        <v>10</v>
      </c>
      <c r="I174" s="18">
        <v>10</v>
      </c>
      <c r="J174" s="18">
        <v>10</v>
      </c>
      <c r="K174" s="19">
        <f t="shared" si="20"/>
        <v>61</v>
      </c>
      <c r="L174" s="20">
        <f t="shared" si="21"/>
        <v>0.30607124937280478</v>
      </c>
    </row>
    <row r="175" spans="1:12" x14ac:dyDescent="0.25">
      <c r="A175" s="16" t="s">
        <v>122</v>
      </c>
      <c r="B175" s="22">
        <v>5</v>
      </c>
      <c r="C175" s="18">
        <v>0.2</v>
      </c>
      <c r="D175" s="17" t="s">
        <v>131</v>
      </c>
      <c r="E175" s="18">
        <v>5</v>
      </c>
      <c r="F175" s="18">
        <v>1</v>
      </c>
      <c r="G175" s="18">
        <v>0.2</v>
      </c>
      <c r="H175" s="18">
        <v>1</v>
      </c>
      <c r="I175" s="18">
        <v>5</v>
      </c>
      <c r="J175" s="18">
        <v>5</v>
      </c>
      <c r="K175" s="19">
        <f t="shared" si="20"/>
        <v>22.4</v>
      </c>
      <c r="L175" s="20">
        <f t="shared" si="21"/>
        <v>0.11239337681886602</v>
      </c>
    </row>
    <row r="176" spans="1:12" x14ac:dyDescent="0.25">
      <c r="A176" s="16" t="s">
        <v>123</v>
      </c>
      <c r="B176" s="22">
        <v>1</v>
      </c>
      <c r="C176" s="18">
        <v>0.1</v>
      </c>
      <c r="D176" s="18">
        <v>0.2</v>
      </c>
      <c r="E176" s="17" t="s">
        <v>131</v>
      </c>
      <c r="F176" s="18">
        <v>0.2</v>
      </c>
      <c r="G176" s="18">
        <v>0.1</v>
      </c>
      <c r="H176" s="18">
        <v>0.2</v>
      </c>
      <c r="I176" s="18">
        <v>1</v>
      </c>
      <c r="J176" s="22">
        <v>1</v>
      </c>
      <c r="K176" s="19">
        <f t="shared" si="20"/>
        <v>3.8</v>
      </c>
      <c r="L176" s="20">
        <f t="shared" si="21"/>
        <v>1.9066733567486199E-2</v>
      </c>
    </row>
    <row r="177" spans="1:12" x14ac:dyDescent="0.25">
      <c r="A177" s="16" t="s">
        <v>124</v>
      </c>
      <c r="B177" s="22">
        <v>5</v>
      </c>
      <c r="C177" s="45">
        <v>0.2</v>
      </c>
      <c r="D177" s="18">
        <v>1</v>
      </c>
      <c r="E177" s="18">
        <v>5</v>
      </c>
      <c r="F177" s="17" t="s">
        <v>131</v>
      </c>
      <c r="G177" s="18">
        <v>0.2</v>
      </c>
      <c r="H177" s="18">
        <v>1</v>
      </c>
      <c r="I177" s="18">
        <v>5</v>
      </c>
      <c r="J177" s="22">
        <v>5</v>
      </c>
      <c r="K177" s="19">
        <f t="shared" si="20"/>
        <v>22.4</v>
      </c>
      <c r="L177" s="20">
        <f t="shared" si="21"/>
        <v>0.11239337681886602</v>
      </c>
    </row>
    <row r="178" spans="1:12" x14ac:dyDescent="0.25">
      <c r="A178" s="16" t="s">
        <v>125</v>
      </c>
      <c r="B178" s="22">
        <v>10</v>
      </c>
      <c r="C178" s="18">
        <v>1</v>
      </c>
      <c r="D178" s="18">
        <v>5</v>
      </c>
      <c r="E178" s="18">
        <v>10</v>
      </c>
      <c r="F178" s="18">
        <v>5</v>
      </c>
      <c r="G178" s="17" t="s">
        <v>131</v>
      </c>
      <c r="H178" s="22">
        <v>5</v>
      </c>
      <c r="I178" s="22">
        <v>10</v>
      </c>
      <c r="J178" s="22">
        <v>10</v>
      </c>
      <c r="K178" s="19">
        <f t="shared" si="20"/>
        <v>56</v>
      </c>
      <c r="L178" s="20">
        <f t="shared" si="21"/>
        <v>0.28098344204716508</v>
      </c>
    </row>
    <row r="179" spans="1:12" ht="38.25" customHeight="1" x14ac:dyDescent="0.25">
      <c r="A179" s="16" t="s">
        <v>126</v>
      </c>
      <c r="B179" s="22">
        <v>5</v>
      </c>
      <c r="C179" s="18">
        <v>0.1</v>
      </c>
      <c r="D179" s="18">
        <v>1</v>
      </c>
      <c r="E179" s="18">
        <v>5</v>
      </c>
      <c r="F179" s="18">
        <v>1</v>
      </c>
      <c r="G179" s="22">
        <v>0.2</v>
      </c>
      <c r="H179" s="17" t="s">
        <v>131</v>
      </c>
      <c r="I179" s="22">
        <v>5</v>
      </c>
      <c r="J179" s="22">
        <v>5</v>
      </c>
      <c r="K179" s="19">
        <f t="shared" si="20"/>
        <v>22.299999999999997</v>
      </c>
      <c r="L179" s="20">
        <f t="shared" si="21"/>
        <v>0.11189162067235321</v>
      </c>
    </row>
    <row r="180" spans="1:12" x14ac:dyDescent="0.25">
      <c r="A180" s="16" t="s">
        <v>127</v>
      </c>
      <c r="B180" s="22">
        <v>1</v>
      </c>
      <c r="C180" s="18">
        <v>0.1</v>
      </c>
      <c r="D180" s="18">
        <v>0.2</v>
      </c>
      <c r="E180" s="18">
        <v>1</v>
      </c>
      <c r="F180" s="18">
        <v>0.2</v>
      </c>
      <c r="G180" s="22">
        <v>0.1</v>
      </c>
      <c r="H180" s="22">
        <v>0.2</v>
      </c>
      <c r="I180" s="17" t="s">
        <v>131</v>
      </c>
      <c r="J180" s="22">
        <v>1</v>
      </c>
      <c r="K180" s="19">
        <f t="shared" si="20"/>
        <v>3.8000000000000003</v>
      </c>
      <c r="L180" s="20">
        <f t="shared" si="21"/>
        <v>1.9066733567486203E-2</v>
      </c>
    </row>
    <row r="181" spans="1:12" x14ac:dyDescent="0.25">
      <c r="A181" s="16" t="s">
        <v>128</v>
      </c>
      <c r="B181" s="75">
        <v>1</v>
      </c>
      <c r="C181" s="45">
        <v>0.1</v>
      </c>
      <c r="D181" s="18">
        <v>0.2</v>
      </c>
      <c r="E181" s="22">
        <v>1</v>
      </c>
      <c r="F181" s="22">
        <v>0.2</v>
      </c>
      <c r="G181" s="22">
        <v>0.1</v>
      </c>
      <c r="H181" s="22">
        <v>0.2</v>
      </c>
      <c r="I181" s="22">
        <v>1</v>
      </c>
      <c r="J181" s="17" t="s">
        <v>131</v>
      </c>
      <c r="K181" s="19">
        <f t="shared" si="20"/>
        <v>3.8000000000000003</v>
      </c>
      <c r="L181" s="20">
        <f t="shared" si="21"/>
        <v>1.9066733567486203E-2</v>
      </c>
    </row>
    <row r="182" spans="1:12" x14ac:dyDescent="0.25">
      <c r="A182" s="133" t="s">
        <v>129</v>
      </c>
      <c r="B182" s="124"/>
      <c r="C182" s="124"/>
      <c r="D182" s="124"/>
      <c r="E182" s="124"/>
      <c r="F182" s="124"/>
      <c r="G182" s="124"/>
      <c r="H182" s="124"/>
      <c r="I182" s="124"/>
      <c r="J182" s="124"/>
      <c r="K182" s="18">
        <f>SUM(K173:K181)</f>
        <v>199.3</v>
      </c>
      <c r="L182" s="21">
        <f>SUM(L173:L181)</f>
        <v>1</v>
      </c>
    </row>
    <row r="183" spans="1:12" x14ac:dyDescent="0.25">
      <c r="A183" s="16"/>
      <c r="B183" s="18"/>
      <c r="C183" s="18"/>
      <c r="D183" s="18"/>
      <c r="E183" s="17"/>
      <c r="F183" s="22"/>
      <c r="G183" s="22"/>
      <c r="H183" s="22"/>
      <c r="I183" s="22"/>
      <c r="J183" s="22"/>
      <c r="K183" s="19"/>
      <c r="L183" s="20"/>
    </row>
    <row r="184" spans="1:12" x14ac:dyDescent="0.25">
      <c r="A184" s="16"/>
      <c r="B184" s="18"/>
      <c r="C184" s="18"/>
      <c r="D184" s="18"/>
      <c r="E184" s="22"/>
      <c r="F184" s="17"/>
      <c r="G184" s="22"/>
      <c r="H184" s="22"/>
      <c r="I184" s="22"/>
      <c r="J184" s="22"/>
      <c r="K184" s="19"/>
      <c r="L184" s="20"/>
    </row>
    <row r="185" spans="1:12" x14ac:dyDescent="0.25">
      <c r="A185" s="125" t="s">
        <v>117</v>
      </c>
      <c r="B185" s="125" t="s">
        <v>142</v>
      </c>
      <c r="C185" s="126"/>
      <c r="D185" s="127"/>
    </row>
    <row r="186" spans="1:12" x14ac:dyDescent="0.25">
      <c r="A186" s="132"/>
      <c r="B186" s="128"/>
      <c r="C186" s="129"/>
      <c r="D186" s="130"/>
    </row>
    <row r="187" spans="1:12" x14ac:dyDescent="0.25">
      <c r="A187" s="123" t="s">
        <v>119</v>
      </c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09"/>
    </row>
    <row r="188" spans="1:12" ht="38.25" customHeight="1" x14ac:dyDescent="0.25">
      <c r="A188" s="14"/>
      <c r="B188" s="15" t="s">
        <v>120</v>
      </c>
      <c r="C188" s="15" t="s">
        <v>121</v>
      </c>
      <c r="D188" s="15" t="s">
        <v>122</v>
      </c>
      <c r="E188" s="15" t="s">
        <v>123</v>
      </c>
      <c r="F188" s="15" t="s">
        <v>124</v>
      </c>
      <c r="G188" s="15" t="s">
        <v>125</v>
      </c>
      <c r="H188" s="15" t="s">
        <v>126</v>
      </c>
      <c r="I188" s="15" t="s">
        <v>127</v>
      </c>
      <c r="J188" s="15" t="s">
        <v>128</v>
      </c>
      <c r="K188" s="15" t="s">
        <v>129</v>
      </c>
      <c r="L188" s="15" t="s">
        <v>130</v>
      </c>
    </row>
    <row r="189" spans="1:12" x14ac:dyDescent="0.25">
      <c r="A189" s="16" t="s">
        <v>120</v>
      </c>
      <c r="B189" s="17" t="s">
        <v>131</v>
      </c>
      <c r="C189" s="22">
        <v>0.1</v>
      </c>
      <c r="D189" s="22">
        <v>0.2</v>
      </c>
      <c r="E189" s="22">
        <v>1</v>
      </c>
      <c r="F189" s="22">
        <v>0.2</v>
      </c>
      <c r="G189" s="22">
        <v>0.1</v>
      </c>
      <c r="H189" s="22">
        <v>0.2</v>
      </c>
      <c r="I189" s="22">
        <v>1</v>
      </c>
      <c r="J189" s="22">
        <v>1</v>
      </c>
      <c r="K189" s="19">
        <f t="shared" ref="K189:K197" si="22">SUM(B189:J189)</f>
        <v>3.8</v>
      </c>
      <c r="L189" s="20">
        <f t="shared" ref="L189:L197" si="23">K189/$K$198</f>
        <v>1.9066733567486199E-2</v>
      </c>
    </row>
    <row r="190" spans="1:12" x14ac:dyDescent="0.25">
      <c r="A190" s="16" t="s">
        <v>121</v>
      </c>
      <c r="B190" s="22">
        <v>10</v>
      </c>
      <c r="C190" s="17" t="s">
        <v>131</v>
      </c>
      <c r="D190" s="18">
        <v>5</v>
      </c>
      <c r="E190" s="18">
        <v>10</v>
      </c>
      <c r="F190" s="18">
        <v>5</v>
      </c>
      <c r="G190" s="18">
        <v>1</v>
      </c>
      <c r="H190" s="18">
        <v>10</v>
      </c>
      <c r="I190" s="18">
        <v>10</v>
      </c>
      <c r="J190" s="18">
        <v>10</v>
      </c>
      <c r="K190" s="19">
        <f t="shared" si="22"/>
        <v>61</v>
      </c>
      <c r="L190" s="20">
        <f t="shared" si="23"/>
        <v>0.30607124937280478</v>
      </c>
    </row>
    <row r="191" spans="1:12" x14ac:dyDescent="0.25">
      <c r="A191" s="16" t="s">
        <v>122</v>
      </c>
      <c r="B191" s="22">
        <v>5</v>
      </c>
      <c r="C191" s="18">
        <v>0.2</v>
      </c>
      <c r="D191" s="17" t="s">
        <v>131</v>
      </c>
      <c r="E191" s="18">
        <v>5</v>
      </c>
      <c r="F191" s="18">
        <v>1</v>
      </c>
      <c r="G191" s="18">
        <v>0.2</v>
      </c>
      <c r="H191" s="18">
        <v>1</v>
      </c>
      <c r="I191" s="18">
        <v>5</v>
      </c>
      <c r="J191" s="18">
        <v>5</v>
      </c>
      <c r="K191" s="19">
        <f t="shared" si="22"/>
        <v>22.4</v>
      </c>
      <c r="L191" s="20">
        <f t="shared" si="23"/>
        <v>0.11239337681886602</v>
      </c>
    </row>
    <row r="192" spans="1:12" x14ac:dyDescent="0.25">
      <c r="A192" s="16" t="s">
        <v>123</v>
      </c>
      <c r="B192" s="22">
        <v>1</v>
      </c>
      <c r="C192" s="18">
        <v>0.1</v>
      </c>
      <c r="D192" s="18">
        <v>0.2</v>
      </c>
      <c r="E192" s="17" t="s">
        <v>131</v>
      </c>
      <c r="F192" s="18">
        <v>0.2</v>
      </c>
      <c r="G192" s="18">
        <v>0.1</v>
      </c>
      <c r="H192" s="18">
        <v>0.2</v>
      </c>
      <c r="I192" s="18">
        <v>1</v>
      </c>
      <c r="J192" s="22">
        <v>1</v>
      </c>
      <c r="K192" s="19">
        <f t="shared" si="22"/>
        <v>3.8</v>
      </c>
      <c r="L192" s="20">
        <f t="shared" si="23"/>
        <v>1.9066733567486199E-2</v>
      </c>
    </row>
    <row r="193" spans="1:12" x14ac:dyDescent="0.25">
      <c r="A193" s="16" t="s">
        <v>124</v>
      </c>
      <c r="B193" s="22">
        <v>5</v>
      </c>
      <c r="C193" s="45">
        <v>0.2</v>
      </c>
      <c r="D193" s="18">
        <v>1</v>
      </c>
      <c r="E193" s="18">
        <v>5</v>
      </c>
      <c r="F193" s="17" t="s">
        <v>131</v>
      </c>
      <c r="G193" s="18">
        <v>0.2</v>
      </c>
      <c r="H193" s="18">
        <v>1</v>
      </c>
      <c r="I193" s="18">
        <v>5</v>
      </c>
      <c r="J193" s="22">
        <v>5</v>
      </c>
      <c r="K193" s="19">
        <f t="shared" si="22"/>
        <v>22.4</v>
      </c>
      <c r="L193" s="20">
        <f t="shared" si="23"/>
        <v>0.11239337681886602</v>
      </c>
    </row>
    <row r="194" spans="1:12" ht="38.25" customHeight="1" x14ac:dyDescent="0.25">
      <c r="A194" s="16" t="s">
        <v>125</v>
      </c>
      <c r="B194" s="22">
        <v>10</v>
      </c>
      <c r="C194" s="18">
        <v>1</v>
      </c>
      <c r="D194" s="18">
        <v>5</v>
      </c>
      <c r="E194" s="18">
        <v>10</v>
      </c>
      <c r="F194" s="18">
        <v>5</v>
      </c>
      <c r="G194" s="17" t="s">
        <v>131</v>
      </c>
      <c r="H194" s="22">
        <v>5</v>
      </c>
      <c r="I194" s="22">
        <v>10</v>
      </c>
      <c r="J194" s="22">
        <v>10</v>
      </c>
      <c r="K194" s="19">
        <f t="shared" si="22"/>
        <v>56</v>
      </c>
      <c r="L194" s="20">
        <f t="shared" si="23"/>
        <v>0.28098344204716508</v>
      </c>
    </row>
    <row r="195" spans="1:12" x14ac:dyDescent="0.25">
      <c r="A195" s="16" t="s">
        <v>126</v>
      </c>
      <c r="B195" s="22">
        <v>5</v>
      </c>
      <c r="C195" s="18">
        <v>0.1</v>
      </c>
      <c r="D195" s="18">
        <v>1</v>
      </c>
      <c r="E195" s="18">
        <v>5</v>
      </c>
      <c r="F195" s="18">
        <v>1</v>
      </c>
      <c r="G195" s="22">
        <v>0.2</v>
      </c>
      <c r="H195" s="17" t="s">
        <v>131</v>
      </c>
      <c r="I195" s="22">
        <v>5</v>
      </c>
      <c r="J195" s="22">
        <v>5</v>
      </c>
      <c r="K195" s="19">
        <f t="shared" si="22"/>
        <v>22.299999999999997</v>
      </c>
      <c r="L195" s="20">
        <f t="shared" si="23"/>
        <v>0.11189162067235321</v>
      </c>
    </row>
    <row r="196" spans="1:12" x14ac:dyDescent="0.25">
      <c r="A196" s="16" t="s">
        <v>127</v>
      </c>
      <c r="B196" s="22">
        <v>1</v>
      </c>
      <c r="C196" s="18">
        <v>0.1</v>
      </c>
      <c r="D196" s="18">
        <v>0.2</v>
      </c>
      <c r="E196" s="18">
        <v>1</v>
      </c>
      <c r="F196" s="18">
        <v>0.2</v>
      </c>
      <c r="G196" s="22">
        <v>0.1</v>
      </c>
      <c r="H196" s="22">
        <v>0.2</v>
      </c>
      <c r="I196" s="17" t="s">
        <v>131</v>
      </c>
      <c r="J196" s="22">
        <v>1</v>
      </c>
      <c r="K196" s="19">
        <f t="shared" si="22"/>
        <v>3.8000000000000003</v>
      </c>
      <c r="L196" s="20">
        <f t="shared" si="23"/>
        <v>1.9066733567486203E-2</v>
      </c>
    </row>
    <row r="197" spans="1:12" x14ac:dyDescent="0.25">
      <c r="A197" s="16" t="s">
        <v>128</v>
      </c>
      <c r="B197" s="75">
        <v>1</v>
      </c>
      <c r="C197" s="45">
        <v>0.1</v>
      </c>
      <c r="D197" s="18">
        <v>0.2</v>
      </c>
      <c r="E197" s="22">
        <v>1</v>
      </c>
      <c r="F197" s="22">
        <v>0.2</v>
      </c>
      <c r="G197" s="22">
        <v>0.1</v>
      </c>
      <c r="H197" s="22">
        <v>0.2</v>
      </c>
      <c r="I197" s="22">
        <v>1</v>
      </c>
      <c r="J197" s="17" t="s">
        <v>131</v>
      </c>
      <c r="K197" s="19">
        <f t="shared" si="22"/>
        <v>3.8000000000000003</v>
      </c>
      <c r="L197" s="20">
        <f t="shared" si="23"/>
        <v>1.9066733567486203E-2</v>
      </c>
    </row>
    <row r="198" spans="1:12" x14ac:dyDescent="0.25">
      <c r="A198" s="133" t="s">
        <v>129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8">
        <f>SUM(K189:K197)</f>
        <v>199.3</v>
      </c>
      <c r="L198" s="21">
        <f>SUM(L189:L197)</f>
        <v>1</v>
      </c>
    </row>
    <row r="199" spans="1:12" x14ac:dyDescent="0.25">
      <c r="A199" s="16"/>
      <c r="B199" s="18"/>
      <c r="C199" s="18"/>
      <c r="D199" s="18"/>
      <c r="E199" s="22"/>
      <c r="F199" s="17"/>
      <c r="G199" s="22"/>
      <c r="H199" s="22"/>
      <c r="I199" s="22"/>
      <c r="J199" s="22"/>
      <c r="K199" s="19"/>
      <c r="L199" s="20"/>
    </row>
    <row r="200" spans="1:12" x14ac:dyDescent="0.25">
      <c r="A200" s="16"/>
      <c r="B200" s="18"/>
      <c r="C200" s="18"/>
      <c r="D200" s="18"/>
      <c r="E200" s="22"/>
      <c r="F200" s="22"/>
      <c r="G200" s="17"/>
      <c r="H200" s="22"/>
      <c r="I200" s="22"/>
      <c r="J200" s="22"/>
      <c r="K200" s="19"/>
      <c r="L200" s="20"/>
    </row>
    <row r="201" spans="1:12" x14ac:dyDescent="0.25">
      <c r="A201" s="125" t="s">
        <v>117</v>
      </c>
      <c r="B201" s="125" t="s">
        <v>143</v>
      </c>
      <c r="C201" s="126"/>
      <c r="D201" s="127"/>
    </row>
    <row r="202" spans="1:12" x14ac:dyDescent="0.25">
      <c r="A202" s="132"/>
      <c r="B202" s="128"/>
      <c r="C202" s="129"/>
      <c r="D202" s="130"/>
    </row>
    <row r="203" spans="1:12" x14ac:dyDescent="0.25">
      <c r="A203" s="123" t="s">
        <v>119</v>
      </c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09"/>
    </row>
    <row r="204" spans="1:12" ht="38.25" customHeight="1" x14ac:dyDescent="0.25">
      <c r="A204" s="14"/>
      <c r="B204" s="15" t="s">
        <v>120</v>
      </c>
      <c r="C204" s="15" t="s">
        <v>121</v>
      </c>
      <c r="D204" s="15" t="s">
        <v>122</v>
      </c>
      <c r="E204" s="15" t="s">
        <v>123</v>
      </c>
      <c r="F204" s="15" t="s">
        <v>124</v>
      </c>
      <c r="G204" s="15" t="s">
        <v>125</v>
      </c>
      <c r="H204" s="15" t="s">
        <v>126</v>
      </c>
      <c r="I204" s="15" t="s">
        <v>127</v>
      </c>
      <c r="J204" s="15" t="s">
        <v>128</v>
      </c>
      <c r="K204" s="15" t="s">
        <v>129</v>
      </c>
      <c r="L204" s="15" t="s">
        <v>130</v>
      </c>
    </row>
    <row r="205" spans="1:12" x14ac:dyDescent="0.25">
      <c r="A205" s="16" t="s">
        <v>120</v>
      </c>
      <c r="B205" s="17" t="s">
        <v>131</v>
      </c>
      <c r="C205" s="22">
        <v>5</v>
      </c>
      <c r="D205" s="22">
        <v>5</v>
      </c>
      <c r="E205" s="22">
        <v>10</v>
      </c>
      <c r="F205" s="22">
        <v>5</v>
      </c>
      <c r="G205" s="22">
        <v>5</v>
      </c>
      <c r="H205" s="22">
        <v>5</v>
      </c>
      <c r="I205" s="22">
        <v>10</v>
      </c>
      <c r="J205" s="22">
        <v>10</v>
      </c>
      <c r="K205" s="19">
        <f t="shared" ref="K205:K213" si="24">SUM(B205:J205)</f>
        <v>55</v>
      </c>
      <c r="L205" s="20">
        <f t="shared" ref="L205:L213" si="25">K205/$K$214</f>
        <v>0.34310667498440428</v>
      </c>
    </row>
    <row r="206" spans="1:12" x14ac:dyDescent="0.25">
      <c r="A206" s="16" t="s">
        <v>121</v>
      </c>
      <c r="B206" s="22">
        <v>0.2</v>
      </c>
      <c r="C206" s="17" t="s">
        <v>131</v>
      </c>
      <c r="D206" s="18">
        <v>1</v>
      </c>
      <c r="E206" s="18">
        <v>5</v>
      </c>
      <c r="F206" s="18">
        <v>1</v>
      </c>
      <c r="G206" s="18">
        <v>1</v>
      </c>
      <c r="H206" s="18">
        <v>1</v>
      </c>
      <c r="I206" s="18">
        <v>5</v>
      </c>
      <c r="J206" s="18">
        <v>5</v>
      </c>
      <c r="K206" s="19">
        <f t="shared" si="24"/>
        <v>19.2</v>
      </c>
      <c r="L206" s="20">
        <f t="shared" si="25"/>
        <v>0.11977542108546477</v>
      </c>
    </row>
    <row r="207" spans="1:12" x14ac:dyDescent="0.25">
      <c r="A207" s="16" t="s">
        <v>122</v>
      </c>
      <c r="B207" s="22">
        <v>0.2</v>
      </c>
      <c r="C207" s="18">
        <v>1</v>
      </c>
      <c r="D207" s="17" t="s">
        <v>131</v>
      </c>
      <c r="E207" s="18">
        <v>5</v>
      </c>
      <c r="F207" s="18">
        <v>1</v>
      </c>
      <c r="G207" s="18">
        <v>1</v>
      </c>
      <c r="H207" s="18">
        <v>1</v>
      </c>
      <c r="I207" s="18">
        <v>5</v>
      </c>
      <c r="J207" s="18">
        <v>5</v>
      </c>
      <c r="K207" s="19">
        <f t="shared" si="24"/>
        <v>19.2</v>
      </c>
      <c r="L207" s="20">
        <f t="shared" si="25"/>
        <v>0.11977542108546477</v>
      </c>
    </row>
    <row r="208" spans="1:12" x14ac:dyDescent="0.25">
      <c r="A208" s="16" t="s">
        <v>123</v>
      </c>
      <c r="B208" s="22">
        <v>0.1</v>
      </c>
      <c r="C208" s="18">
        <v>0.2</v>
      </c>
      <c r="D208" s="18">
        <v>0.2</v>
      </c>
      <c r="E208" s="17" t="s">
        <v>131</v>
      </c>
      <c r="F208" s="18">
        <v>0.2</v>
      </c>
      <c r="G208" s="18">
        <v>0.2</v>
      </c>
      <c r="H208" s="18">
        <v>0.2</v>
      </c>
      <c r="I208" s="18">
        <v>1</v>
      </c>
      <c r="J208" s="22">
        <v>1</v>
      </c>
      <c r="K208" s="19">
        <f t="shared" si="24"/>
        <v>3.0999999999999996</v>
      </c>
      <c r="L208" s="20">
        <f t="shared" si="25"/>
        <v>1.9338739862757331E-2</v>
      </c>
    </row>
    <row r="209" spans="1:12" ht="38.25" customHeight="1" x14ac:dyDescent="0.25">
      <c r="A209" s="16" t="s">
        <v>124</v>
      </c>
      <c r="B209" s="22">
        <v>0.2</v>
      </c>
      <c r="C209" s="45">
        <v>1</v>
      </c>
      <c r="D209" s="18">
        <v>1</v>
      </c>
      <c r="E209" s="18">
        <v>5</v>
      </c>
      <c r="F209" s="17" t="s">
        <v>131</v>
      </c>
      <c r="G209" s="18">
        <v>1</v>
      </c>
      <c r="H209" s="18">
        <v>1</v>
      </c>
      <c r="I209" s="18">
        <v>5</v>
      </c>
      <c r="J209" s="22">
        <v>5</v>
      </c>
      <c r="K209" s="19">
        <f t="shared" si="24"/>
        <v>19.2</v>
      </c>
      <c r="L209" s="20">
        <f t="shared" si="25"/>
        <v>0.11977542108546477</v>
      </c>
    </row>
    <row r="210" spans="1:12" x14ac:dyDescent="0.25">
      <c r="A210" s="16" t="s">
        <v>125</v>
      </c>
      <c r="B210" s="22">
        <v>0.2</v>
      </c>
      <c r="C210" s="18">
        <v>1</v>
      </c>
      <c r="D210" s="18">
        <v>1</v>
      </c>
      <c r="E210" s="18">
        <v>5</v>
      </c>
      <c r="F210" s="18">
        <v>1</v>
      </c>
      <c r="G210" s="17" t="s">
        <v>131</v>
      </c>
      <c r="H210" s="22">
        <v>1</v>
      </c>
      <c r="I210" s="22">
        <v>5</v>
      </c>
      <c r="J210" s="22">
        <v>5</v>
      </c>
      <c r="K210" s="19">
        <f t="shared" si="24"/>
        <v>19.2</v>
      </c>
      <c r="L210" s="20">
        <f t="shared" si="25"/>
        <v>0.11977542108546477</v>
      </c>
    </row>
    <row r="211" spans="1:12" x14ac:dyDescent="0.25">
      <c r="A211" s="16" t="s">
        <v>126</v>
      </c>
      <c r="B211" s="22">
        <v>0.2</v>
      </c>
      <c r="C211" s="18">
        <v>1</v>
      </c>
      <c r="D211" s="18">
        <v>1</v>
      </c>
      <c r="E211" s="18">
        <v>5</v>
      </c>
      <c r="F211" s="18">
        <v>1</v>
      </c>
      <c r="G211" s="22">
        <v>1</v>
      </c>
      <c r="H211" s="17" t="s">
        <v>131</v>
      </c>
      <c r="I211" s="22">
        <v>5</v>
      </c>
      <c r="J211" s="22">
        <v>5</v>
      </c>
      <c r="K211" s="19">
        <f t="shared" si="24"/>
        <v>19.2</v>
      </c>
      <c r="L211" s="20">
        <f t="shared" si="25"/>
        <v>0.11977542108546477</v>
      </c>
    </row>
    <row r="212" spans="1:12" x14ac:dyDescent="0.25">
      <c r="A212" s="16" t="s">
        <v>127</v>
      </c>
      <c r="B212" s="22">
        <v>0.1</v>
      </c>
      <c r="C212" s="18">
        <v>0.2</v>
      </c>
      <c r="D212" s="18">
        <v>0.2</v>
      </c>
      <c r="E212" s="18">
        <v>1</v>
      </c>
      <c r="F212" s="18">
        <v>0.2</v>
      </c>
      <c r="G212" s="22">
        <v>0.2</v>
      </c>
      <c r="H212" s="22">
        <v>0.2</v>
      </c>
      <c r="I212" s="17" t="s">
        <v>131</v>
      </c>
      <c r="J212" s="22">
        <v>1</v>
      </c>
      <c r="K212" s="19">
        <f t="shared" si="24"/>
        <v>3.1</v>
      </c>
      <c r="L212" s="20">
        <f t="shared" si="25"/>
        <v>1.9338739862757331E-2</v>
      </c>
    </row>
    <row r="213" spans="1:12" x14ac:dyDescent="0.25">
      <c r="A213" s="16" t="s">
        <v>128</v>
      </c>
      <c r="B213" s="75">
        <v>0.1</v>
      </c>
      <c r="C213" s="45">
        <v>0.2</v>
      </c>
      <c r="D213" s="18">
        <v>0.2</v>
      </c>
      <c r="E213" s="22">
        <v>1</v>
      </c>
      <c r="F213" s="22">
        <v>0.2</v>
      </c>
      <c r="G213" s="22">
        <v>0.2</v>
      </c>
      <c r="H213" s="22">
        <v>0.2</v>
      </c>
      <c r="I213" s="22">
        <v>1</v>
      </c>
      <c r="J213" s="17" t="s">
        <v>131</v>
      </c>
      <c r="K213" s="19">
        <f t="shared" si="24"/>
        <v>3.1</v>
      </c>
      <c r="L213" s="20">
        <f t="shared" si="25"/>
        <v>1.9338739862757331E-2</v>
      </c>
    </row>
    <row r="214" spans="1:12" x14ac:dyDescent="0.25">
      <c r="A214" s="133" t="s">
        <v>129</v>
      </c>
      <c r="B214" s="124"/>
      <c r="C214" s="124"/>
      <c r="D214" s="124"/>
      <c r="E214" s="124"/>
      <c r="F214" s="124"/>
      <c r="G214" s="124"/>
      <c r="H214" s="124"/>
      <c r="I214" s="124"/>
      <c r="J214" s="124"/>
      <c r="K214" s="18">
        <f>SUM(K205:K213)</f>
        <v>160.29999999999998</v>
      </c>
      <c r="L214" s="21">
        <f>SUM(L205:L213)</f>
        <v>1.0000000000000002</v>
      </c>
    </row>
    <row r="215" spans="1:12" x14ac:dyDescent="0.25">
      <c r="A215" s="16"/>
      <c r="B215" s="18"/>
      <c r="C215" s="18"/>
      <c r="D215" s="18"/>
      <c r="E215" s="22"/>
      <c r="F215" s="22"/>
      <c r="G215" s="17"/>
      <c r="H215" s="22"/>
      <c r="I215" s="22"/>
      <c r="J215" s="22"/>
      <c r="K215" s="19"/>
      <c r="L215" s="20"/>
    </row>
    <row r="216" spans="1:12" x14ac:dyDescent="0.25">
      <c r="A216" s="16"/>
      <c r="B216" s="18"/>
      <c r="C216" s="18"/>
      <c r="D216" s="18"/>
      <c r="E216" s="22"/>
      <c r="F216" s="22"/>
      <c r="G216" s="22"/>
      <c r="H216" s="17"/>
      <c r="I216" s="22"/>
      <c r="J216" s="22"/>
      <c r="K216" s="19"/>
      <c r="L216" s="20"/>
    </row>
    <row r="217" spans="1:12" x14ac:dyDescent="0.25">
      <c r="A217" s="125" t="s">
        <v>117</v>
      </c>
      <c r="B217" s="125" t="s">
        <v>144</v>
      </c>
      <c r="C217" s="126"/>
      <c r="D217" s="127"/>
    </row>
    <row r="218" spans="1:12" x14ac:dyDescent="0.25">
      <c r="A218" s="132"/>
      <c r="B218" s="128"/>
      <c r="C218" s="129"/>
      <c r="D218" s="130"/>
    </row>
    <row r="219" spans="1:12" x14ac:dyDescent="0.25">
      <c r="A219" s="123" t="s">
        <v>119</v>
      </c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09"/>
    </row>
    <row r="220" spans="1:12" ht="38.25" customHeight="1" x14ac:dyDescent="0.25">
      <c r="A220" s="14"/>
      <c r="B220" s="15" t="s">
        <v>120</v>
      </c>
      <c r="C220" s="15" t="s">
        <v>121</v>
      </c>
      <c r="D220" s="15" t="s">
        <v>122</v>
      </c>
      <c r="E220" s="15" t="s">
        <v>123</v>
      </c>
      <c r="F220" s="15" t="s">
        <v>124</v>
      </c>
      <c r="G220" s="15" t="s">
        <v>125</v>
      </c>
      <c r="H220" s="15" t="s">
        <v>126</v>
      </c>
      <c r="I220" s="15" t="s">
        <v>127</v>
      </c>
      <c r="J220" s="15" t="s">
        <v>128</v>
      </c>
      <c r="K220" s="15" t="s">
        <v>129</v>
      </c>
      <c r="L220" s="15" t="s">
        <v>130</v>
      </c>
    </row>
    <row r="221" spans="1:12" x14ac:dyDescent="0.25">
      <c r="A221" s="16" t="s">
        <v>120</v>
      </c>
      <c r="B221" s="17" t="s">
        <v>131</v>
      </c>
      <c r="C221" s="22">
        <v>5</v>
      </c>
      <c r="D221" s="22">
        <v>5</v>
      </c>
      <c r="E221" s="22">
        <v>10</v>
      </c>
      <c r="F221" s="22">
        <v>5</v>
      </c>
      <c r="G221" s="22">
        <v>5</v>
      </c>
      <c r="H221" s="22">
        <v>5</v>
      </c>
      <c r="I221" s="22">
        <v>10</v>
      </c>
      <c r="J221" s="22">
        <v>10</v>
      </c>
      <c r="K221" s="19">
        <f t="shared" ref="K221:K229" si="26">SUM(B221:J221)</f>
        <v>55</v>
      </c>
      <c r="L221" s="20">
        <f t="shared" ref="L221:L229" si="27">K221/$K$230</f>
        <v>0.34310667498440428</v>
      </c>
    </row>
    <row r="222" spans="1:12" x14ac:dyDescent="0.25">
      <c r="A222" s="16" t="s">
        <v>121</v>
      </c>
      <c r="B222" s="22">
        <v>0.2</v>
      </c>
      <c r="C222" s="17" t="s">
        <v>131</v>
      </c>
      <c r="D222" s="18">
        <v>1</v>
      </c>
      <c r="E222" s="18">
        <v>5</v>
      </c>
      <c r="F222" s="18">
        <v>1</v>
      </c>
      <c r="G222" s="18">
        <v>1</v>
      </c>
      <c r="H222" s="18">
        <v>1</v>
      </c>
      <c r="I222" s="18">
        <v>5</v>
      </c>
      <c r="J222" s="18">
        <v>5</v>
      </c>
      <c r="K222" s="19">
        <f t="shared" si="26"/>
        <v>19.2</v>
      </c>
      <c r="L222" s="20">
        <f t="shared" si="27"/>
        <v>0.11977542108546477</v>
      </c>
    </row>
    <row r="223" spans="1:12" x14ac:dyDescent="0.25">
      <c r="A223" s="16" t="s">
        <v>122</v>
      </c>
      <c r="B223" s="22">
        <v>0.2</v>
      </c>
      <c r="C223" s="18">
        <v>1</v>
      </c>
      <c r="D223" s="17" t="s">
        <v>131</v>
      </c>
      <c r="E223" s="18">
        <v>5</v>
      </c>
      <c r="F223" s="18">
        <v>1</v>
      </c>
      <c r="G223" s="18">
        <v>1</v>
      </c>
      <c r="H223" s="18">
        <v>1</v>
      </c>
      <c r="I223" s="18">
        <v>5</v>
      </c>
      <c r="J223" s="18">
        <v>5</v>
      </c>
      <c r="K223" s="19">
        <f t="shared" si="26"/>
        <v>19.2</v>
      </c>
      <c r="L223" s="20">
        <f t="shared" si="27"/>
        <v>0.11977542108546477</v>
      </c>
    </row>
    <row r="224" spans="1:12" ht="38.25" customHeight="1" x14ac:dyDescent="0.25">
      <c r="A224" s="16" t="s">
        <v>123</v>
      </c>
      <c r="B224" s="22">
        <v>0.1</v>
      </c>
      <c r="C224" s="18">
        <v>0.2</v>
      </c>
      <c r="D224" s="18">
        <v>0.2</v>
      </c>
      <c r="E224" s="17" t="s">
        <v>131</v>
      </c>
      <c r="F224" s="18">
        <v>0.2</v>
      </c>
      <c r="G224" s="18">
        <v>0.2</v>
      </c>
      <c r="H224" s="18">
        <v>0.2</v>
      </c>
      <c r="I224" s="18">
        <v>1</v>
      </c>
      <c r="J224" s="22">
        <v>1</v>
      </c>
      <c r="K224" s="19">
        <f t="shared" si="26"/>
        <v>3.0999999999999996</v>
      </c>
      <c r="L224" s="20">
        <f t="shared" si="27"/>
        <v>1.9338739862757331E-2</v>
      </c>
    </row>
    <row r="225" spans="1:12" x14ac:dyDescent="0.25">
      <c r="A225" s="16" t="s">
        <v>124</v>
      </c>
      <c r="B225" s="22">
        <v>0.2</v>
      </c>
      <c r="C225" s="45">
        <v>1</v>
      </c>
      <c r="D225" s="18">
        <v>1</v>
      </c>
      <c r="E225" s="18">
        <v>5</v>
      </c>
      <c r="F225" s="17" t="s">
        <v>131</v>
      </c>
      <c r="G225" s="18">
        <v>1</v>
      </c>
      <c r="H225" s="18">
        <v>1</v>
      </c>
      <c r="I225" s="18">
        <v>5</v>
      </c>
      <c r="J225" s="22">
        <v>5</v>
      </c>
      <c r="K225" s="19">
        <f t="shared" si="26"/>
        <v>19.2</v>
      </c>
      <c r="L225" s="20">
        <f t="shared" si="27"/>
        <v>0.11977542108546477</v>
      </c>
    </row>
    <row r="226" spans="1:12" x14ac:dyDescent="0.25">
      <c r="A226" s="16" t="s">
        <v>125</v>
      </c>
      <c r="B226" s="22">
        <v>0.2</v>
      </c>
      <c r="C226" s="18">
        <v>1</v>
      </c>
      <c r="D226" s="18">
        <v>1</v>
      </c>
      <c r="E226" s="18">
        <v>5</v>
      </c>
      <c r="F226" s="18">
        <v>1</v>
      </c>
      <c r="G226" s="17" t="s">
        <v>131</v>
      </c>
      <c r="H226" s="22">
        <v>1</v>
      </c>
      <c r="I226" s="22">
        <v>5</v>
      </c>
      <c r="J226" s="22">
        <v>5</v>
      </c>
      <c r="K226" s="19">
        <f t="shared" si="26"/>
        <v>19.2</v>
      </c>
      <c r="L226" s="20">
        <f t="shared" si="27"/>
        <v>0.11977542108546477</v>
      </c>
    </row>
    <row r="227" spans="1:12" x14ac:dyDescent="0.25">
      <c r="A227" s="16" t="s">
        <v>126</v>
      </c>
      <c r="B227" s="22">
        <v>0.2</v>
      </c>
      <c r="C227" s="18">
        <v>1</v>
      </c>
      <c r="D227" s="18">
        <v>1</v>
      </c>
      <c r="E227" s="18">
        <v>5</v>
      </c>
      <c r="F227" s="18">
        <v>1</v>
      </c>
      <c r="G227" s="22">
        <v>1</v>
      </c>
      <c r="H227" s="17" t="s">
        <v>131</v>
      </c>
      <c r="I227" s="22">
        <v>5</v>
      </c>
      <c r="J227" s="22">
        <v>5</v>
      </c>
      <c r="K227" s="19">
        <f t="shared" si="26"/>
        <v>19.2</v>
      </c>
      <c r="L227" s="20">
        <f t="shared" si="27"/>
        <v>0.11977542108546477</v>
      </c>
    </row>
    <row r="228" spans="1:12" x14ac:dyDescent="0.25">
      <c r="A228" s="16" t="s">
        <v>127</v>
      </c>
      <c r="B228" s="22">
        <v>0.1</v>
      </c>
      <c r="C228" s="18">
        <v>0.2</v>
      </c>
      <c r="D228" s="18">
        <v>0.2</v>
      </c>
      <c r="E228" s="18">
        <v>1</v>
      </c>
      <c r="F228" s="18">
        <v>0.2</v>
      </c>
      <c r="G228" s="22">
        <v>0.2</v>
      </c>
      <c r="H228" s="22">
        <v>0.2</v>
      </c>
      <c r="I228" s="17" t="s">
        <v>131</v>
      </c>
      <c r="J228" s="22">
        <v>1</v>
      </c>
      <c r="K228" s="19">
        <f t="shared" si="26"/>
        <v>3.1</v>
      </c>
      <c r="L228" s="20">
        <f t="shared" si="27"/>
        <v>1.9338739862757331E-2</v>
      </c>
    </row>
    <row r="229" spans="1:12" x14ac:dyDescent="0.25">
      <c r="A229" s="16" t="s">
        <v>128</v>
      </c>
      <c r="B229" s="75">
        <v>0.1</v>
      </c>
      <c r="C229" s="45">
        <v>0.2</v>
      </c>
      <c r="D229" s="18">
        <v>0.2</v>
      </c>
      <c r="E229" s="22">
        <v>1</v>
      </c>
      <c r="F229" s="22">
        <v>0.2</v>
      </c>
      <c r="G229" s="22">
        <v>0.2</v>
      </c>
      <c r="H229" s="22">
        <v>0.2</v>
      </c>
      <c r="I229" s="22">
        <v>1</v>
      </c>
      <c r="J229" s="17" t="s">
        <v>131</v>
      </c>
      <c r="K229" s="19">
        <f t="shared" si="26"/>
        <v>3.1</v>
      </c>
      <c r="L229" s="20">
        <f t="shared" si="27"/>
        <v>1.9338739862757331E-2</v>
      </c>
    </row>
    <row r="230" spans="1:12" x14ac:dyDescent="0.25">
      <c r="A230" s="133" t="s">
        <v>129</v>
      </c>
      <c r="B230" s="124"/>
      <c r="C230" s="124"/>
      <c r="D230" s="124"/>
      <c r="E230" s="124"/>
      <c r="F230" s="124"/>
      <c r="G230" s="124"/>
      <c r="H230" s="124"/>
      <c r="I230" s="124"/>
      <c r="J230" s="124"/>
      <c r="K230" s="18">
        <f>SUM(K221:K229)</f>
        <v>160.29999999999998</v>
      </c>
      <c r="L230" s="21">
        <f>SUM(L221:L229)</f>
        <v>1.0000000000000002</v>
      </c>
    </row>
    <row r="231" spans="1:12" x14ac:dyDescent="0.25">
      <c r="A231" s="16"/>
      <c r="B231" s="18"/>
      <c r="C231" s="18"/>
      <c r="D231" s="18"/>
      <c r="E231" s="22"/>
      <c r="F231" s="22"/>
      <c r="G231" s="22"/>
      <c r="H231" s="17"/>
      <c r="I231" s="22"/>
      <c r="J231" s="22"/>
      <c r="K231" s="19"/>
      <c r="L231" s="20"/>
    </row>
    <row r="232" spans="1:12" x14ac:dyDescent="0.25">
      <c r="A232" s="16"/>
      <c r="B232" s="18"/>
      <c r="C232" s="18"/>
      <c r="D232" s="18"/>
      <c r="E232" s="22"/>
      <c r="F232" s="22"/>
      <c r="G232" s="22"/>
      <c r="H232" s="22"/>
      <c r="I232" s="17"/>
      <c r="J232" s="22"/>
      <c r="K232" s="19"/>
      <c r="L232" s="20"/>
    </row>
    <row r="233" spans="1:12" x14ac:dyDescent="0.25">
      <c r="A233" s="125" t="s">
        <v>117</v>
      </c>
      <c r="B233" s="125" t="s">
        <v>145</v>
      </c>
      <c r="C233" s="126"/>
      <c r="D233" s="127"/>
    </row>
    <row r="234" spans="1:12" x14ac:dyDescent="0.25">
      <c r="A234" s="132"/>
      <c r="B234" s="128"/>
      <c r="C234" s="129"/>
      <c r="D234" s="130"/>
    </row>
    <row r="235" spans="1:12" x14ac:dyDescent="0.25">
      <c r="A235" s="123" t="s">
        <v>119</v>
      </c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09"/>
    </row>
    <row r="236" spans="1:12" ht="38.25" customHeight="1" x14ac:dyDescent="0.25">
      <c r="A236" s="14"/>
      <c r="B236" s="15" t="s">
        <v>120</v>
      </c>
      <c r="C236" s="15" t="s">
        <v>121</v>
      </c>
      <c r="D236" s="15" t="s">
        <v>122</v>
      </c>
      <c r="E236" s="15" t="s">
        <v>123</v>
      </c>
      <c r="F236" s="15" t="s">
        <v>124</v>
      </c>
      <c r="G236" s="15" t="s">
        <v>125</v>
      </c>
      <c r="H236" s="15" t="s">
        <v>126</v>
      </c>
      <c r="I236" s="15" t="s">
        <v>127</v>
      </c>
      <c r="J236" s="15" t="s">
        <v>128</v>
      </c>
      <c r="K236" s="15" t="s">
        <v>129</v>
      </c>
      <c r="L236" s="15" t="s">
        <v>130</v>
      </c>
    </row>
    <row r="237" spans="1:12" x14ac:dyDescent="0.25">
      <c r="A237" s="16" t="s">
        <v>120</v>
      </c>
      <c r="B237" s="17" t="s">
        <v>131</v>
      </c>
      <c r="C237" s="22">
        <v>5</v>
      </c>
      <c r="D237" s="22">
        <v>5</v>
      </c>
      <c r="E237" s="22">
        <v>10</v>
      </c>
      <c r="F237" s="22">
        <v>5</v>
      </c>
      <c r="G237" s="22">
        <v>5</v>
      </c>
      <c r="H237" s="22">
        <v>5</v>
      </c>
      <c r="I237" s="22">
        <v>10</v>
      </c>
      <c r="J237" s="22">
        <v>10</v>
      </c>
      <c r="K237" s="19">
        <f t="shared" ref="K237:K245" si="28">SUM(B237:J237)</f>
        <v>55</v>
      </c>
      <c r="L237" s="20">
        <f t="shared" ref="L237:L245" si="29">K237/$K$246</f>
        <v>0.34310667498440428</v>
      </c>
    </row>
    <row r="238" spans="1:12" x14ac:dyDescent="0.25">
      <c r="A238" s="16" t="s">
        <v>121</v>
      </c>
      <c r="B238" s="22">
        <v>0.2</v>
      </c>
      <c r="C238" s="17" t="s">
        <v>131</v>
      </c>
      <c r="D238" s="18">
        <v>1</v>
      </c>
      <c r="E238" s="18">
        <v>5</v>
      </c>
      <c r="F238" s="18">
        <v>1</v>
      </c>
      <c r="G238" s="18">
        <v>1</v>
      </c>
      <c r="H238" s="18">
        <v>1</v>
      </c>
      <c r="I238" s="18">
        <v>5</v>
      </c>
      <c r="J238" s="18">
        <v>5</v>
      </c>
      <c r="K238" s="19">
        <f t="shared" si="28"/>
        <v>19.2</v>
      </c>
      <c r="L238" s="20">
        <f t="shared" si="29"/>
        <v>0.11977542108546477</v>
      </c>
    </row>
    <row r="239" spans="1:12" x14ac:dyDescent="0.25">
      <c r="A239" s="16" t="s">
        <v>122</v>
      </c>
      <c r="B239" s="22">
        <v>0.2</v>
      </c>
      <c r="C239" s="18">
        <v>1</v>
      </c>
      <c r="D239" s="17" t="s">
        <v>131</v>
      </c>
      <c r="E239" s="18">
        <v>5</v>
      </c>
      <c r="F239" s="18">
        <v>1</v>
      </c>
      <c r="G239" s="18">
        <v>1</v>
      </c>
      <c r="H239" s="18">
        <v>1</v>
      </c>
      <c r="I239" s="18">
        <v>5</v>
      </c>
      <c r="J239" s="18">
        <v>5</v>
      </c>
      <c r="K239" s="19">
        <f t="shared" si="28"/>
        <v>19.2</v>
      </c>
      <c r="L239" s="20">
        <f t="shared" si="29"/>
        <v>0.11977542108546477</v>
      </c>
    </row>
    <row r="240" spans="1:12" x14ac:dyDescent="0.25">
      <c r="A240" s="16" t="s">
        <v>123</v>
      </c>
      <c r="B240" s="22">
        <v>0.1</v>
      </c>
      <c r="C240" s="18">
        <v>0.2</v>
      </c>
      <c r="D240" s="18">
        <v>0.2</v>
      </c>
      <c r="E240" s="17" t="s">
        <v>131</v>
      </c>
      <c r="F240" s="18">
        <v>0.2</v>
      </c>
      <c r="G240" s="18">
        <v>0.2</v>
      </c>
      <c r="H240" s="18">
        <v>0.2</v>
      </c>
      <c r="I240" s="18">
        <v>1</v>
      </c>
      <c r="J240" s="22">
        <v>1</v>
      </c>
      <c r="K240" s="19">
        <f t="shared" si="28"/>
        <v>3.0999999999999996</v>
      </c>
      <c r="L240" s="20">
        <f t="shared" si="29"/>
        <v>1.9338739862757331E-2</v>
      </c>
    </row>
    <row r="241" spans="1:12" x14ac:dyDescent="0.25">
      <c r="A241" s="16" t="s">
        <v>124</v>
      </c>
      <c r="B241" s="22">
        <v>0.2</v>
      </c>
      <c r="C241" s="45">
        <v>1</v>
      </c>
      <c r="D241" s="18">
        <v>1</v>
      </c>
      <c r="E241" s="18">
        <v>5</v>
      </c>
      <c r="F241" s="17" t="s">
        <v>131</v>
      </c>
      <c r="G241" s="18">
        <v>1</v>
      </c>
      <c r="H241" s="18">
        <v>1</v>
      </c>
      <c r="I241" s="18">
        <v>5</v>
      </c>
      <c r="J241" s="22">
        <v>5</v>
      </c>
      <c r="K241" s="19">
        <f t="shared" si="28"/>
        <v>19.2</v>
      </c>
      <c r="L241" s="20">
        <f t="shared" si="29"/>
        <v>0.11977542108546477</v>
      </c>
    </row>
    <row r="242" spans="1:12" x14ac:dyDescent="0.25">
      <c r="A242" s="16" t="s">
        <v>125</v>
      </c>
      <c r="B242" s="22">
        <v>0.2</v>
      </c>
      <c r="C242" s="18">
        <v>1</v>
      </c>
      <c r="D242" s="18">
        <v>1</v>
      </c>
      <c r="E242" s="18">
        <v>5</v>
      </c>
      <c r="F242" s="18">
        <v>1</v>
      </c>
      <c r="G242" s="17" t="s">
        <v>131</v>
      </c>
      <c r="H242" s="22">
        <v>1</v>
      </c>
      <c r="I242" s="22">
        <v>5</v>
      </c>
      <c r="J242" s="22">
        <v>5</v>
      </c>
      <c r="K242" s="19">
        <f t="shared" si="28"/>
        <v>19.2</v>
      </c>
      <c r="L242" s="20">
        <f t="shared" si="29"/>
        <v>0.11977542108546477</v>
      </c>
    </row>
    <row r="243" spans="1:12" x14ac:dyDescent="0.25">
      <c r="A243" s="16" t="s">
        <v>126</v>
      </c>
      <c r="B243" s="22">
        <v>0.2</v>
      </c>
      <c r="C243" s="18">
        <v>1</v>
      </c>
      <c r="D243" s="18">
        <v>1</v>
      </c>
      <c r="E243" s="18">
        <v>5</v>
      </c>
      <c r="F243" s="18">
        <v>1</v>
      </c>
      <c r="G243" s="22">
        <v>1</v>
      </c>
      <c r="H243" s="17" t="s">
        <v>131</v>
      </c>
      <c r="I243" s="22">
        <v>5</v>
      </c>
      <c r="J243" s="22">
        <v>5</v>
      </c>
      <c r="K243" s="19">
        <f t="shared" si="28"/>
        <v>19.2</v>
      </c>
      <c r="L243" s="20">
        <f t="shared" si="29"/>
        <v>0.11977542108546477</v>
      </c>
    </row>
    <row r="244" spans="1:12" x14ac:dyDescent="0.25">
      <c r="A244" s="16" t="s">
        <v>127</v>
      </c>
      <c r="B244" s="22">
        <v>0.1</v>
      </c>
      <c r="C244" s="18">
        <v>0.2</v>
      </c>
      <c r="D244" s="18">
        <v>0.2</v>
      </c>
      <c r="E244" s="18">
        <v>1</v>
      </c>
      <c r="F244" s="18">
        <v>0.2</v>
      </c>
      <c r="G244" s="22">
        <v>0.2</v>
      </c>
      <c r="H244" s="22">
        <v>0.2</v>
      </c>
      <c r="I244" s="17" t="s">
        <v>131</v>
      </c>
      <c r="J244" s="22">
        <v>1</v>
      </c>
      <c r="K244" s="19">
        <f t="shared" si="28"/>
        <v>3.1</v>
      </c>
      <c r="L244" s="20">
        <f t="shared" si="29"/>
        <v>1.9338739862757331E-2</v>
      </c>
    </row>
    <row r="245" spans="1:12" x14ac:dyDescent="0.25">
      <c r="A245" s="16" t="s">
        <v>128</v>
      </c>
      <c r="B245" s="75">
        <v>0.1</v>
      </c>
      <c r="C245" s="45">
        <v>0.2</v>
      </c>
      <c r="D245" s="18">
        <v>0.2</v>
      </c>
      <c r="E245" s="22">
        <v>1</v>
      </c>
      <c r="F245" s="22">
        <v>0.2</v>
      </c>
      <c r="G245" s="22">
        <v>0.2</v>
      </c>
      <c r="H245" s="22">
        <v>0.2</v>
      </c>
      <c r="I245" s="22">
        <v>1</v>
      </c>
      <c r="J245" s="17" t="s">
        <v>131</v>
      </c>
      <c r="K245" s="19">
        <f t="shared" si="28"/>
        <v>3.1</v>
      </c>
      <c r="L245" s="20">
        <f t="shared" si="29"/>
        <v>1.9338739862757331E-2</v>
      </c>
    </row>
    <row r="246" spans="1:12" x14ac:dyDescent="0.25">
      <c r="A246" s="133" t="s">
        <v>129</v>
      </c>
      <c r="B246" s="124"/>
      <c r="C246" s="124"/>
      <c r="D246" s="124"/>
      <c r="E246" s="124"/>
      <c r="F246" s="124"/>
      <c r="G246" s="124"/>
      <c r="H246" s="124"/>
      <c r="I246" s="124"/>
      <c r="J246" s="124"/>
      <c r="K246" s="18">
        <f>SUM(K237:K245)</f>
        <v>160.29999999999998</v>
      </c>
      <c r="L246" s="21">
        <f>SUM(L237:L245)</f>
        <v>1.0000000000000002</v>
      </c>
    </row>
    <row r="247" spans="1:12" x14ac:dyDescent="0.25">
      <c r="B247" s="25"/>
      <c r="C247" s="26"/>
    </row>
    <row r="248" spans="1:12" x14ac:dyDescent="0.25">
      <c r="B248" s="25"/>
      <c r="C248" s="26"/>
    </row>
    <row r="249" spans="1:12" x14ac:dyDescent="0.25">
      <c r="A249" s="125" t="s">
        <v>117</v>
      </c>
      <c r="B249" s="125" t="s">
        <v>146</v>
      </c>
      <c r="C249" s="126"/>
      <c r="D249" s="127"/>
    </row>
    <row r="250" spans="1:12" x14ac:dyDescent="0.25">
      <c r="A250" s="132"/>
      <c r="B250" s="128"/>
      <c r="C250" s="129"/>
      <c r="D250" s="130"/>
    </row>
    <row r="251" spans="1:12" x14ac:dyDescent="0.25">
      <c r="A251" s="123" t="s">
        <v>119</v>
      </c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09"/>
    </row>
    <row r="252" spans="1:12" ht="38.25" customHeight="1" x14ac:dyDescent="0.25">
      <c r="A252" s="14"/>
      <c r="B252" s="15" t="s">
        <v>120</v>
      </c>
      <c r="C252" s="15" t="s">
        <v>121</v>
      </c>
      <c r="D252" s="15" t="s">
        <v>122</v>
      </c>
      <c r="E252" s="15" t="s">
        <v>123</v>
      </c>
      <c r="F252" s="15" t="s">
        <v>124</v>
      </c>
      <c r="G252" s="15" t="s">
        <v>125</v>
      </c>
      <c r="H252" s="15" t="s">
        <v>126</v>
      </c>
      <c r="I252" s="15" t="s">
        <v>127</v>
      </c>
      <c r="J252" s="15" t="s">
        <v>128</v>
      </c>
      <c r="K252" s="15" t="s">
        <v>129</v>
      </c>
      <c r="L252" s="15" t="s">
        <v>130</v>
      </c>
    </row>
    <row r="253" spans="1:12" x14ac:dyDescent="0.25">
      <c r="A253" s="16" t="s">
        <v>120</v>
      </c>
      <c r="B253" s="17" t="s">
        <v>131</v>
      </c>
      <c r="C253" s="22">
        <v>5</v>
      </c>
      <c r="D253" s="22">
        <v>5</v>
      </c>
      <c r="E253" s="22">
        <v>10</v>
      </c>
      <c r="F253" s="22">
        <v>5</v>
      </c>
      <c r="G253" s="22">
        <v>5</v>
      </c>
      <c r="H253" s="22">
        <v>5</v>
      </c>
      <c r="I253" s="22">
        <v>10</v>
      </c>
      <c r="J253" s="22">
        <v>10</v>
      </c>
      <c r="K253" s="19">
        <f t="shared" ref="K253:K261" si="30">SUM(B253:J253)</f>
        <v>55</v>
      </c>
      <c r="L253" s="20">
        <f t="shared" ref="L253:L261" si="31">K253/$K$262</f>
        <v>0.34310667498440428</v>
      </c>
    </row>
    <row r="254" spans="1:12" x14ac:dyDescent="0.25">
      <c r="A254" s="16" t="s">
        <v>121</v>
      </c>
      <c r="B254" s="22">
        <v>0.2</v>
      </c>
      <c r="C254" s="17" t="s">
        <v>131</v>
      </c>
      <c r="D254" s="18">
        <v>1</v>
      </c>
      <c r="E254" s="18">
        <v>5</v>
      </c>
      <c r="F254" s="18">
        <v>1</v>
      </c>
      <c r="G254" s="18">
        <v>1</v>
      </c>
      <c r="H254" s="18">
        <v>1</v>
      </c>
      <c r="I254" s="18">
        <v>5</v>
      </c>
      <c r="J254" s="18">
        <v>5</v>
      </c>
      <c r="K254" s="19">
        <f t="shared" si="30"/>
        <v>19.2</v>
      </c>
      <c r="L254" s="20">
        <f t="shared" si="31"/>
        <v>0.11977542108546477</v>
      </c>
    </row>
    <row r="255" spans="1:12" x14ac:dyDescent="0.25">
      <c r="A255" s="16" t="s">
        <v>122</v>
      </c>
      <c r="B255" s="22">
        <v>0.2</v>
      </c>
      <c r="C255" s="18">
        <v>1</v>
      </c>
      <c r="D255" s="17" t="s">
        <v>131</v>
      </c>
      <c r="E255" s="18">
        <v>5</v>
      </c>
      <c r="F255" s="18">
        <v>1</v>
      </c>
      <c r="G255" s="18">
        <v>1</v>
      </c>
      <c r="H255" s="18">
        <v>1</v>
      </c>
      <c r="I255" s="18">
        <v>5</v>
      </c>
      <c r="J255" s="18">
        <v>5</v>
      </c>
      <c r="K255" s="19">
        <f t="shared" si="30"/>
        <v>19.2</v>
      </c>
      <c r="L255" s="20">
        <f t="shared" si="31"/>
        <v>0.11977542108546477</v>
      </c>
    </row>
    <row r="256" spans="1:12" x14ac:dyDescent="0.25">
      <c r="A256" s="16" t="s">
        <v>123</v>
      </c>
      <c r="B256" s="22">
        <v>0.1</v>
      </c>
      <c r="C256" s="18">
        <v>0.2</v>
      </c>
      <c r="D256" s="18">
        <v>0.2</v>
      </c>
      <c r="E256" s="17" t="s">
        <v>131</v>
      </c>
      <c r="F256" s="18">
        <v>0.2</v>
      </c>
      <c r="G256" s="18">
        <v>0.2</v>
      </c>
      <c r="H256" s="18">
        <v>0.2</v>
      </c>
      <c r="I256" s="18">
        <v>1</v>
      </c>
      <c r="J256" s="22">
        <v>1</v>
      </c>
      <c r="K256" s="19">
        <f t="shared" si="30"/>
        <v>3.0999999999999996</v>
      </c>
      <c r="L256" s="20">
        <f t="shared" si="31"/>
        <v>1.9338739862757331E-2</v>
      </c>
    </row>
    <row r="257" spans="1:12" x14ac:dyDescent="0.25">
      <c r="A257" s="16" t="s">
        <v>124</v>
      </c>
      <c r="B257" s="22">
        <v>0.2</v>
      </c>
      <c r="C257" s="45">
        <v>1</v>
      </c>
      <c r="D257" s="18">
        <v>1</v>
      </c>
      <c r="E257" s="18">
        <v>5</v>
      </c>
      <c r="F257" s="17" t="s">
        <v>131</v>
      </c>
      <c r="G257" s="18">
        <v>1</v>
      </c>
      <c r="H257" s="18">
        <v>1</v>
      </c>
      <c r="I257" s="18">
        <v>5</v>
      </c>
      <c r="J257" s="22">
        <v>5</v>
      </c>
      <c r="K257" s="19">
        <f t="shared" si="30"/>
        <v>19.2</v>
      </c>
      <c r="L257" s="20">
        <f t="shared" si="31"/>
        <v>0.11977542108546477</v>
      </c>
    </row>
    <row r="258" spans="1:12" x14ac:dyDescent="0.25">
      <c r="A258" s="16" t="s">
        <v>125</v>
      </c>
      <c r="B258" s="22">
        <v>0.2</v>
      </c>
      <c r="C258" s="18">
        <v>1</v>
      </c>
      <c r="D258" s="18">
        <v>1</v>
      </c>
      <c r="E258" s="18">
        <v>5</v>
      </c>
      <c r="F258" s="18">
        <v>1</v>
      </c>
      <c r="G258" s="17" t="s">
        <v>131</v>
      </c>
      <c r="H258" s="22">
        <v>1</v>
      </c>
      <c r="I258" s="22">
        <v>5</v>
      </c>
      <c r="J258" s="22">
        <v>5</v>
      </c>
      <c r="K258" s="19">
        <f t="shared" si="30"/>
        <v>19.2</v>
      </c>
      <c r="L258" s="20">
        <f t="shared" si="31"/>
        <v>0.11977542108546477</v>
      </c>
    </row>
    <row r="259" spans="1:12" x14ac:dyDescent="0.25">
      <c r="A259" s="16" t="s">
        <v>126</v>
      </c>
      <c r="B259" s="22">
        <v>0.2</v>
      </c>
      <c r="C259" s="18">
        <v>1</v>
      </c>
      <c r="D259" s="18">
        <v>1</v>
      </c>
      <c r="E259" s="18">
        <v>5</v>
      </c>
      <c r="F259" s="18">
        <v>1</v>
      </c>
      <c r="G259" s="22">
        <v>1</v>
      </c>
      <c r="H259" s="17" t="s">
        <v>131</v>
      </c>
      <c r="I259" s="22">
        <v>5</v>
      </c>
      <c r="J259" s="22">
        <v>5</v>
      </c>
      <c r="K259" s="19">
        <f t="shared" si="30"/>
        <v>19.2</v>
      </c>
      <c r="L259" s="20">
        <f t="shared" si="31"/>
        <v>0.11977542108546477</v>
      </c>
    </row>
    <row r="260" spans="1:12" x14ac:dyDescent="0.25">
      <c r="A260" s="16" t="s">
        <v>127</v>
      </c>
      <c r="B260" s="22">
        <v>0.1</v>
      </c>
      <c r="C260" s="18">
        <v>0.2</v>
      </c>
      <c r="D260" s="18">
        <v>0.2</v>
      </c>
      <c r="E260" s="18">
        <v>1</v>
      </c>
      <c r="F260" s="18">
        <v>0.2</v>
      </c>
      <c r="G260" s="22">
        <v>0.2</v>
      </c>
      <c r="H260" s="22">
        <v>0.2</v>
      </c>
      <c r="I260" s="17" t="s">
        <v>131</v>
      </c>
      <c r="J260" s="22">
        <v>1</v>
      </c>
      <c r="K260" s="19">
        <f t="shared" si="30"/>
        <v>3.1</v>
      </c>
      <c r="L260" s="20">
        <f t="shared" si="31"/>
        <v>1.9338739862757331E-2</v>
      </c>
    </row>
    <row r="261" spans="1:12" x14ac:dyDescent="0.25">
      <c r="A261" s="16" t="s">
        <v>128</v>
      </c>
      <c r="B261" s="75">
        <v>0.1</v>
      </c>
      <c r="C261" s="45">
        <v>0.2</v>
      </c>
      <c r="D261" s="18">
        <v>0.2</v>
      </c>
      <c r="E261" s="22">
        <v>1</v>
      </c>
      <c r="F261" s="22">
        <v>0.2</v>
      </c>
      <c r="G261" s="22">
        <v>0.2</v>
      </c>
      <c r="H261" s="22">
        <v>0.2</v>
      </c>
      <c r="I261" s="22">
        <v>1</v>
      </c>
      <c r="J261" s="17" t="s">
        <v>131</v>
      </c>
      <c r="K261" s="19">
        <f t="shared" si="30"/>
        <v>3.1</v>
      </c>
      <c r="L261" s="20">
        <f t="shared" si="31"/>
        <v>1.9338739862757331E-2</v>
      </c>
    </row>
    <row r="262" spans="1:12" x14ac:dyDescent="0.25">
      <c r="A262" s="133" t="s">
        <v>129</v>
      </c>
      <c r="B262" s="124"/>
      <c r="C262" s="124"/>
      <c r="D262" s="124"/>
      <c r="E262" s="124"/>
      <c r="F262" s="124"/>
      <c r="G262" s="124"/>
      <c r="H262" s="124"/>
      <c r="I262" s="124"/>
      <c r="J262" s="124"/>
      <c r="K262" s="18">
        <f>SUM(K253:K261)</f>
        <v>160.29999999999998</v>
      </c>
      <c r="L262" s="21">
        <f>SUM(L253:L261)</f>
        <v>1.0000000000000002</v>
      </c>
    </row>
    <row r="265" spans="1:12" x14ac:dyDescent="0.25">
      <c r="A265" s="125" t="s">
        <v>117</v>
      </c>
      <c r="B265" s="125" t="s">
        <v>147</v>
      </c>
      <c r="C265" s="126"/>
      <c r="D265" s="127"/>
    </row>
    <row r="266" spans="1:12" x14ac:dyDescent="0.25">
      <c r="A266" s="132"/>
      <c r="B266" s="128"/>
      <c r="C266" s="129"/>
      <c r="D266" s="130"/>
    </row>
    <row r="267" spans="1:12" x14ac:dyDescent="0.25">
      <c r="A267" s="123" t="s">
        <v>119</v>
      </c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09"/>
    </row>
    <row r="268" spans="1:12" ht="38.25" customHeight="1" x14ac:dyDescent="0.25">
      <c r="A268" s="14"/>
      <c r="B268" s="15" t="s">
        <v>120</v>
      </c>
      <c r="C268" s="15" t="s">
        <v>121</v>
      </c>
      <c r="D268" s="15" t="s">
        <v>122</v>
      </c>
      <c r="E268" s="15" t="s">
        <v>123</v>
      </c>
      <c r="F268" s="15" t="s">
        <v>124</v>
      </c>
      <c r="G268" s="15" t="s">
        <v>125</v>
      </c>
      <c r="H268" s="15" t="s">
        <v>126</v>
      </c>
      <c r="I268" s="15" t="s">
        <v>127</v>
      </c>
      <c r="J268" s="15" t="s">
        <v>128</v>
      </c>
      <c r="K268" s="15" t="s">
        <v>129</v>
      </c>
      <c r="L268" s="15" t="s">
        <v>130</v>
      </c>
    </row>
    <row r="269" spans="1:12" x14ac:dyDescent="0.25">
      <c r="A269" s="16" t="s">
        <v>120</v>
      </c>
      <c r="B269" s="17" t="s">
        <v>131</v>
      </c>
      <c r="C269" s="22">
        <v>5</v>
      </c>
      <c r="D269" s="22">
        <v>5</v>
      </c>
      <c r="E269" s="22">
        <v>10</v>
      </c>
      <c r="F269" s="22">
        <v>5</v>
      </c>
      <c r="G269" s="22">
        <v>5</v>
      </c>
      <c r="H269" s="22">
        <v>5</v>
      </c>
      <c r="I269" s="22">
        <v>10</v>
      </c>
      <c r="J269" s="22">
        <v>10</v>
      </c>
      <c r="K269" s="19">
        <f t="shared" ref="K269:K277" si="32">SUM(B269:J269)</f>
        <v>55</v>
      </c>
      <c r="L269" s="20">
        <f t="shared" ref="L269:L277" si="33">K269/$K$278</f>
        <v>0.34310667498440428</v>
      </c>
    </row>
    <row r="270" spans="1:12" x14ac:dyDescent="0.25">
      <c r="A270" s="16" t="s">
        <v>121</v>
      </c>
      <c r="B270" s="22">
        <v>0.2</v>
      </c>
      <c r="C270" s="17" t="s">
        <v>131</v>
      </c>
      <c r="D270" s="18">
        <v>1</v>
      </c>
      <c r="E270" s="18">
        <v>5</v>
      </c>
      <c r="F270" s="18">
        <v>1</v>
      </c>
      <c r="G270" s="18">
        <v>1</v>
      </c>
      <c r="H270" s="18">
        <v>1</v>
      </c>
      <c r="I270" s="18">
        <v>5</v>
      </c>
      <c r="J270" s="18">
        <v>5</v>
      </c>
      <c r="K270" s="19">
        <f t="shared" si="32"/>
        <v>19.2</v>
      </c>
      <c r="L270" s="20">
        <f t="shared" si="33"/>
        <v>0.11977542108546477</v>
      </c>
    </row>
    <row r="271" spans="1:12" x14ac:dyDescent="0.25">
      <c r="A271" s="16" t="s">
        <v>122</v>
      </c>
      <c r="B271" s="22">
        <v>0.2</v>
      </c>
      <c r="C271" s="18">
        <v>1</v>
      </c>
      <c r="D271" s="17" t="s">
        <v>131</v>
      </c>
      <c r="E271" s="18">
        <v>5</v>
      </c>
      <c r="F271" s="18">
        <v>1</v>
      </c>
      <c r="G271" s="18">
        <v>1</v>
      </c>
      <c r="H271" s="18">
        <v>1</v>
      </c>
      <c r="I271" s="18">
        <v>5</v>
      </c>
      <c r="J271" s="18">
        <v>5</v>
      </c>
      <c r="K271" s="19">
        <f t="shared" si="32"/>
        <v>19.2</v>
      </c>
      <c r="L271" s="20">
        <f t="shared" si="33"/>
        <v>0.11977542108546477</v>
      </c>
    </row>
    <row r="272" spans="1:12" x14ac:dyDescent="0.25">
      <c r="A272" s="16" t="s">
        <v>123</v>
      </c>
      <c r="B272" s="22">
        <v>0.1</v>
      </c>
      <c r="C272" s="18">
        <v>0.2</v>
      </c>
      <c r="D272" s="18">
        <v>0.2</v>
      </c>
      <c r="E272" s="17" t="s">
        <v>131</v>
      </c>
      <c r="F272" s="18">
        <v>0.2</v>
      </c>
      <c r="G272" s="18">
        <v>0.2</v>
      </c>
      <c r="H272" s="18">
        <v>0.2</v>
      </c>
      <c r="I272" s="18">
        <v>1</v>
      </c>
      <c r="J272" s="22">
        <v>1</v>
      </c>
      <c r="K272" s="19">
        <f t="shared" si="32"/>
        <v>3.0999999999999996</v>
      </c>
      <c r="L272" s="20">
        <f t="shared" si="33"/>
        <v>1.9338739862757331E-2</v>
      </c>
    </row>
    <row r="273" spans="1:12" x14ac:dyDescent="0.25">
      <c r="A273" s="16" t="s">
        <v>124</v>
      </c>
      <c r="B273" s="22">
        <v>0.2</v>
      </c>
      <c r="C273" s="45">
        <v>1</v>
      </c>
      <c r="D273" s="18">
        <v>1</v>
      </c>
      <c r="E273" s="18">
        <v>5</v>
      </c>
      <c r="F273" s="17" t="s">
        <v>131</v>
      </c>
      <c r="G273" s="18">
        <v>1</v>
      </c>
      <c r="H273" s="18">
        <v>1</v>
      </c>
      <c r="I273" s="18">
        <v>5</v>
      </c>
      <c r="J273" s="22">
        <v>5</v>
      </c>
      <c r="K273" s="19">
        <f t="shared" si="32"/>
        <v>19.2</v>
      </c>
      <c r="L273" s="20">
        <f t="shared" si="33"/>
        <v>0.11977542108546477</v>
      </c>
    </row>
    <row r="274" spans="1:12" x14ac:dyDescent="0.25">
      <c r="A274" s="16" t="s">
        <v>125</v>
      </c>
      <c r="B274" s="22">
        <v>0.2</v>
      </c>
      <c r="C274" s="18">
        <v>1</v>
      </c>
      <c r="D274" s="18">
        <v>1</v>
      </c>
      <c r="E274" s="18">
        <v>5</v>
      </c>
      <c r="F274" s="18">
        <v>1</v>
      </c>
      <c r="G274" s="17" t="s">
        <v>131</v>
      </c>
      <c r="H274" s="22">
        <v>1</v>
      </c>
      <c r="I274" s="22">
        <v>5</v>
      </c>
      <c r="J274" s="22">
        <v>5</v>
      </c>
      <c r="K274" s="19">
        <f t="shared" si="32"/>
        <v>19.2</v>
      </c>
      <c r="L274" s="20">
        <f t="shared" si="33"/>
        <v>0.11977542108546477</v>
      </c>
    </row>
    <row r="275" spans="1:12" x14ac:dyDescent="0.25">
      <c r="A275" s="16" t="s">
        <v>126</v>
      </c>
      <c r="B275" s="22">
        <v>0.2</v>
      </c>
      <c r="C275" s="18">
        <v>1</v>
      </c>
      <c r="D275" s="18">
        <v>1</v>
      </c>
      <c r="E275" s="18">
        <v>5</v>
      </c>
      <c r="F275" s="18">
        <v>1</v>
      </c>
      <c r="G275" s="22">
        <v>1</v>
      </c>
      <c r="H275" s="17" t="s">
        <v>131</v>
      </c>
      <c r="I275" s="22">
        <v>5</v>
      </c>
      <c r="J275" s="22">
        <v>5</v>
      </c>
      <c r="K275" s="19">
        <f t="shared" si="32"/>
        <v>19.2</v>
      </c>
      <c r="L275" s="20">
        <f t="shared" si="33"/>
        <v>0.11977542108546477</v>
      </c>
    </row>
    <row r="276" spans="1:12" x14ac:dyDescent="0.25">
      <c r="A276" s="16" t="s">
        <v>127</v>
      </c>
      <c r="B276" s="22">
        <v>0.1</v>
      </c>
      <c r="C276" s="18">
        <v>0.2</v>
      </c>
      <c r="D276" s="18">
        <v>0.2</v>
      </c>
      <c r="E276" s="18">
        <v>1</v>
      </c>
      <c r="F276" s="18">
        <v>0.2</v>
      </c>
      <c r="G276" s="22">
        <v>0.2</v>
      </c>
      <c r="H276" s="22">
        <v>0.2</v>
      </c>
      <c r="I276" s="17" t="s">
        <v>131</v>
      </c>
      <c r="J276" s="22">
        <v>1</v>
      </c>
      <c r="K276" s="19">
        <f t="shared" si="32"/>
        <v>3.1</v>
      </c>
      <c r="L276" s="20">
        <f t="shared" si="33"/>
        <v>1.9338739862757331E-2</v>
      </c>
    </row>
    <row r="277" spans="1:12" x14ac:dyDescent="0.25">
      <c r="A277" s="16" t="s">
        <v>128</v>
      </c>
      <c r="B277" s="75">
        <v>0.1</v>
      </c>
      <c r="C277" s="45">
        <v>0.2</v>
      </c>
      <c r="D277" s="18">
        <v>0.2</v>
      </c>
      <c r="E277" s="22">
        <v>1</v>
      </c>
      <c r="F277" s="22">
        <v>0.2</v>
      </c>
      <c r="G277" s="22">
        <v>0.2</v>
      </c>
      <c r="H277" s="22">
        <v>0.2</v>
      </c>
      <c r="I277" s="22">
        <v>1</v>
      </c>
      <c r="J277" s="17" t="s">
        <v>131</v>
      </c>
      <c r="K277" s="19">
        <f t="shared" si="32"/>
        <v>3.1</v>
      </c>
      <c r="L277" s="20">
        <f t="shared" si="33"/>
        <v>1.9338739862757331E-2</v>
      </c>
    </row>
    <row r="278" spans="1:12" x14ac:dyDescent="0.25">
      <c r="A278" s="133" t="s">
        <v>129</v>
      </c>
      <c r="B278" s="124"/>
      <c r="C278" s="124"/>
      <c r="D278" s="124"/>
      <c r="E278" s="124"/>
      <c r="F278" s="124"/>
      <c r="G278" s="124"/>
      <c r="H278" s="124"/>
      <c r="I278" s="124"/>
      <c r="J278" s="124"/>
      <c r="K278" s="18">
        <f>SUM(K269:K277)</f>
        <v>160.29999999999998</v>
      </c>
      <c r="L278" s="21">
        <f>SUM(L269:L277)</f>
        <v>1.0000000000000002</v>
      </c>
    </row>
    <row r="281" spans="1:12" x14ac:dyDescent="0.25">
      <c r="A281" s="125" t="s">
        <v>117</v>
      </c>
      <c r="B281" s="125" t="s">
        <v>148</v>
      </c>
      <c r="C281" s="126"/>
      <c r="D281" s="127"/>
    </row>
    <row r="282" spans="1:12" x14ac:dyDescent="0.25">
      <c r="A282" s="132"/>
      <c r="B282" s="128"/>
      <c r="C282" s="129"/>
      <c r="D282" s="130"/>
    </row>
    <row r="283" spans="1:12" x14ac:dyDescent="0.25">
      <c r="A283" s="123" t="s">
        <v>119</v>
      </c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09"/>
    </row>
    <row r="284" spans="1:12" ht="38.25" customHeight="1" x14ac:dyDescent="0.25">
      <c r="A284" s="14"/>
      <c r="B284" s="15" t="s">
        <v>120</v>
      </c>
      <c r="C284" s="15" t="s">
        <v>121</v>
      </c>
      <c r="D284" s="15" t="s">
        <v>122</v>
      </c>
      <c r="E284" s="15" t="s">
        <v>123</v>
      </c>
      <c r="F284" s="15" t="s">
        <v>124</v>
      </c>
      <c r="G284" s="15" t="s">
        <v>125</v>
      </c>
      <c r="H284" s="15" t="s">
        <v>126</v>
      </c>
      <c r="I284" s="15" t="s">
        <v>127</v>
      </c>
      <c r="J284" s="15" t="s">
        <v>128</v>
      </c>
      <c r="K284" s="15" t="s">
        <v>129</v>
      </c>
      <c r="L284" s="15" t="s">
        <v>130</v>
      </c>
    </row>
    <row r="285" spans="1:12" x14ac:dyDescent="0.25">
      <c r="A285" s="16" t="s">
        <v>120</v>
      </c>
      <c r="B285" s="17" t="s">
        <v>131</v>
      </c>
      <c r="C285" s="22">
        <v>0.1</v>
      </c>
      <c r="D285" s="22">
        <v>0.2</v>
      </c>
      <c r="E285" s="22">
        <v>1</v>
      </c>
      <c r="F285" s="22">
        <v>0.2</v>
      </c>
      <c r="G285" s="22">
        <v>0.1</v>
      </c>
      <c r="H285" s="22">
        <v>0.2</v>
      </c>
      <c r="I285" s="22">
        <v>1</v>
      </c>
      <c r="J285" s="22">
        <v>1</v>
      </c>
      <c r="K285" s="19">
        <f t="shared" ref="K285:K293" si="34">SUM(B285:J285)</f>
        <v>3.8</v>
      </c>
      <c r="L285" s="20">
        <f t="shared" ref="L285:L293" si="35">K285/$K$294</f>
        <v>1.9066733567486199E-2</v>
      </c>
    </row>
    <row r="286" spans="1:12" x14ac:dyDescent="0.25">
      <c r="A286" s="16" t="s">
        <v>121</v>
      </c>
      <c r="B286" s="22">
        <v>10</v>
      </c>
      <c r="C286" s="17" t="s">
        <v>131</v>
      </c>
      <c r="D286" s="18">
        <v>5</v>
      </c>
      <c r="E286" s="18">
        <v>10</v>
      </c>
      <c r="F286" s="18">
        <v>5</v>
      </c>
      <c r="G286" s="18">
        <v>1</v>
      </c>
      <c r="H286" s="18">
        <v>10</v>
      </c>
      <c r="I286" s="18">
        <v>10</v>
      </c>
      <c r="J286" s="18">
        <v>10</v>
      </c>
      <c r="K286" s="19">
        <f t="shared" si="34"/>
        <v>61</v>
      </c>
      <c r="L286" s="20">
        <f t="shared" si="35"/>
        <v>0.30607124937280478</v>
      </c>
    </row>
    <row r="287" spans="1:12" x14ac:dyDescent="0.25">
      <c r="A287" s="16" t="s">
        <v>122</v>
      </c>
      <c r="B287" s="22">
        <v>5</v>
      </c>
      <c r="C287" s="18">
        <v>0.2</v>
      </c>
      <c r="D287" s="17" t="s">
        <v>131</v>
      </c>
      <c r="E287" s="18">
        <v>5</v>
      </c>
      <c r="F287" s="18">
        <v>1</v>
      </c>
      <c r="G287" s="18">
        <v>0.2</v>
      </c>
      <c r="H287" s="18">
        <v>1</v>
      </c>
      <c r="I287" s="18">
        <v>5</v>
      </c>
      <c r="J287" s="18">
        <v>5</v>
      </c>
      <c r="K287" s="19">
        <f t="shared" si="34"/>
        <v>22.4</v>
      </c>
      <c r="L287" s="20">
        <f t="shared" si="35"/>
        <v>0.11239337681886602</v>
      </c>
    </row>
    <row r="288" spans="1:12" x14ac:dyDescent="0.25">
      <c r="A288" s="16" t="s">
        <v>123</v>
      </c>
      <c r="B288" s="22">
        <v>1</v>
      </c>
      <c r="C288" s="18">
        <v>0.1</v>
      </c>
      <c r="D288" s="18">
        <v>0.2</v>
      </c>
      <c r="E288" s="17" t="s">
        <v>131</v>
      </c>
      <c r="F288" s="18">
        <v>0.2</v>
      </c>
      <c r="G288" s="18">
        <v>0.1</v>
      </c>
      <c r="H288" s="18">
        <v>0.2</v>
      </c>
      <c r="I288" s="18">
        <v>1</v>
      </c>
      <c r="J288" s="22">
        <v>1</v>
      </c>
      <c r="K288" s="19">
        <f t="shared" si="34"/>
        <v>3.8</v>
      </c>
      <c r="L288" s="20">
        <f t="shared" si="35"/>
        <v>1.9066733567486199E-2</v>
      </c>
    </row>
    <row r="289" spans="1:12" x14ac:dyDescent="0.25">
      <c r="A289" s="16" t="s">
        <v>124</v>
      </c>
      <c r="B289" s="22">
        <v>5</v>
      </c>
      <c r="C289" s="45">
        <v>0.2</v>
      </c>
      <c r="D289" s="18">
        <v>1</v>
      </c>
      <c r="E289" s="18">
        <v>5</v>
      </c>
      <c r="F289" s="17" t="s">
        <v>131</v>
      </c>
      <c r="G289" s="18">
        <v>0.2</v>
      </c>
      <c r="H289" s="18">
        <v>1</v>
      </c>
      <c r="I289" s="18">
        <v>5</v>
      </c>
      <c r="J289" s="22">
        <v>5</v>
      </c>
      <c r="K289" s="19">
        <f t="shared" si="34"/>
        <v>22.4</v>
      </c>
      <c r="L289" s="20">
        <f t="shared" si="35"/>
        <v>0.11239337681886602</v>
      </c>
    </row>
    <row r="290" spans="1:12" x14ac:dyDescent="0.25">
      <c r="A290" s="16" t="s">
        <v>125</v>
      </c>
      <c r="B290" s="22">
        <v>10</v>
      </c>
      <c r="C290" s="18">
        <v>1</v>
      </c>
      <c r="D290" s="18">
        <v>5</v>
      </c>
      <c r="E290" s="18">
        <v>10</v>
      </c>
      <c r="F290" s="18">
        <v>5</v>
      </c>
      <c r="G290" s="17" t="s">
        <v>131</v>
      </c>
      <c r="H290" s="22">
        <v>5</v>
      </c>
      <c r="I290" s="22">
        <v>10</v>
      </c>
      <c r="J290" s="22">
        <v>10</v>
      </c>
      <c r="K290" s="19">
        <f t="shared" si="34"/>
        <v>56</v>
      </c>
      <c r="L290" s="20">
        <f t="shared" si="35"/>
        <v>0.28098344204716508</v>
      </c>
    </row>
    <row r="291" spans="1:12" x14ac:dyDescent="0.25">
      <c r="A291" s="16" t="s">
        <v>126</v>
      </c>
      <c r="B291" s="22">
        <v>5</v>
      </c>
      <c r="C291" s="18">
        <v>0.1</v>
      </c>
      <c r="D291" s="18">
        <v>1</v>
      </c>
      <c r="E291" s="18">
        <v>5</v>
      </c>
      <c r="F291" s="18">
        <v>1</v>
      </c>
      <c r="G291" s="22">
        <v>0.2</v>
      </c>
      <c r="H291" s="17" t="s">
        <v>131</v>
      </c>
      <c r="I291" s="22">
        <v>5</v>
      </c>
      <c r="J291" s="22">
        <v>5</v>
      </c>
      <c r="K291" s="19">
        <f t="shared" si="34"/>
        <v>22.299999999999997</v>
      </c>
      <c r="L291" s="20">
        <f t="shared" si="35"/>
        <v>0.11189162067235321</v>
      </c>
    </row>
    <row r="292" spans="1:12" x14ac:dyDescent="0.25">
      <c r="A292" s="16" t="s">
        <v>127</v>
      </c>
      <c r="B292" s="22">
        <v>1</v>
      </c>
      <c r="C292" s="18">
        <v>0.1</v>
      </c>
      <c r="D292" s="18">
        <v>0.2</v>
      </c>
      <c r="E292" s="18">
        <v>1</v>
      </c>
      <c r="F292" s="18">
        <v>0.2</v>
      </c>
      <c r="G292" s="22">
        <v>0.1</v>
      </c>
      <c r="H292" s="22">
        <v>0.2</v>
      </c>
      <c r="I292" s="17" t="s">
        <v>131</v>
      </c>
      <c r="J292" s="22">
        <v>1</v>
      </c>
      <c r="K292" s="19">
        <f t="shared" si="34"/>
        <v>3.8000000000000003</v>
      </c>
      <c r="L292" s="20">
        <f t="shared" si="35"/>
        <v>1.9066733567486203E-2</v>
      </c>
    </row>
    <row r="293" spans="1:12" x14ac:dyDescent="0.25">
      <c r="A293" s="16" t="s">
        <v>128</v>
      </c>
      <c r="B293" s="75">
        <v>1</v>
      </c>
      <c r="C293" s="45">
        <v>0.1</v>
      </c>
      <c r="D293" s="18">
        <v>0.2</v>
      </c>
      <c r="E293" s="22">
        <v>1</v>
      </c>
      <c r="F293" s="22">
        <v>0.2</v>
      </c>
      <c r="G293" s="22">
        <v>0.1</v>
      </c>
      <c r="H293" s="22">
        <v>0.2</v>
      </c>
      <c r="I293" s="22">
        <v>1</v>
      </c>
      <c r="J293" s="17" t="s">
        <v>131</v>
      </c>
      <c r="K293" s="19">
        <f t="shared" si="34"/>
        <v>3.8000000000000003</v>
      </c>
      <c r="L293" s="20">
        <f t="shared" si="35"/>
        <v>1.9066733567486203E-2</v>
      </c>
    </row>
    <row r="294" spans="1:12" x14ac:dyDescent="0.25">
      <c r="A294" s="133" t="s">
        <v>129</v>
      </c>
      <c r="B294" s="124"/>
      <c r="C294" s="124"/>
      <c r="D294" s="124"/>
      <c r="E294" s="124"/>
      <c r="F294" s="124"/>
      <c r="G294" s="124"/>
      <c r="H294" s="124"/>
      <c r="I294" s="124"/>
      <c r="J294" s="124"/>
      <c r="K294" s="18">
        <f>SUM(K285:K293)</f>
        <v>199.3</v>
      </c>
      <c r="L294" s="21">
        <f>SUM(L285:L293)</f>
        <v>1</v>
      </c>
    </row>
    <row r="297" spans="1:12" x14ac:dyDescent="0.25">
      <c r="A297" s="125" t="s">
        <v>117</v>
      </c>
      <c r="B297" s="125" t="s">
        <v>149</v>
      </c>
      <c r="C297" s="126"/>
      <c r="D297" s="127"/>
    </row>
    <row r="298" spans="1:12" x14ac:dyDescent="0.25">
      <c r="A298" s="132"/>
      <c r="B298" s="128"/>
      <c r="C298" s="129"/>
      <c r="D298" s="130"/>
    </row>
    <row r="299" spans="1:12" x14ac:dyDescent="0.25">
      <c r="A299" s="123" t="s">
        <v>119</v>
      </c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09"/>
    </row>
    <row r="300" spans="1:12" ht="38.25" customHeight="1" x14ac:dyDescent="0.25">
      <c r="A300" s="14"/>
      <c r="B300" s="15" t="s">
        <v>120</v>
      </c>
      <c r="C300" s="15" t="s">
        <v>121</v>
      </c>
      <c r="D300" s="15" t="s">
        <v>122</v>
      </c>
      <c r="E300" s="15" t="s">
        <v>123</v>
      </c>
      <c r="F300" s="15" t="s">
        <v>124</v>
      </c>
      <c r="G300" s="15" t="s">
        <v>125</v>
      </c>
      <c r="H300" s="15" t="s">
        <v>126</v>
      </c>
      <c r="I300" s="15" t="s">
        <v>127</v>
      </c>
      <c r="J300" s="15" t="s">
        <v>128</v>
      </c>
      <c r="K300" s="15" t="s">
        <v>129</v>
      </c>
      <c r="L300" s="15" t="s">
        <v>130</v>
      </c>
    </row>
    <row r="301" spans="1:12" x14ac:dyDescent="0.25">
      <c r="A301" s="16" t="s">
        <v>120</v>
      </c>
      <c r="B301" s="17" t="s">
        <v>131</v>
      </c>
      <c r="C301" s="22">
        <v>1</v>
      </c>
      <c r="D301" s="22">
        <v>1</v>
      </c>
      <c r="E301" s="22">
        <v>5</v>
      </c>
      <c r="F301" s="22">
        <v>0.2</v>
      </c>
      <c r="G301" s="22">
        <v>1</v>
      </c>
      <c r="H301" s="22">
        <v>0.2</v>
      </c>
      <c r="I301" s="22">
        <v>5</v>
      </c>
      <c r="J301" s="22">
        <v>5</v>
      </c>
      <c r="K301" s="19">
        <f t="shared" ref="K301:K309" si="36">SUM(B301:J301)</f>
        <v>18.399999999999999</v>
      </c>
      <c r="L301" s="20">
        <f t="shared" ref="L301:L309" si="37">K301/$K$310</f>
        <v>0.11616161616161617</v>
      </c>
    </row>
    <row r="302" spans="1:12" x14ac:dyDescent="0.25">
      <c r="A302" s="16" t="s">
        <v>121</v>
      </c>
      <c r="B302" s="22">
        <v>1</v>
      </c>
      <c r="C302" s="17" t="s">
        <v>131</v>
      </c>
      <c r="D302" s="18">
        <v>1</v>
      </c>
      <c r="E302" s="18">
        <v>5</v>
      </c>
      <c r="F302" s="18">
        <v>0.2</v>
      </c>
      <c r="G302" s="18">
        <v>1</v>
      </c>
      <c r="H302" s="18">
        <v>0.2</v>
      </c>
      <c r="I302" s="18">
        <v>5</v>
      </c>
      <c r="J302" s="18">
        <v>5</v>
      </c>
      <c r="K302" s="19">
        <f t="shared" si="36"/>
        <v>18.399999999999999</v>
      </c>
      <c r="L302" s="20">
        <f t="shared" si="37"/>
        <v>0.11616161616161617</v>
      </c>
    </row>
    <row r="303" spans="1:12" x14ac:dyDescent="0.25">
      <c r="A303" s="16" t="s">
        <v>122</v>
      </c>
      <c r="B303" s="22">
        <v>1</v>
      </c>
      <c r="C303" s="18">
        <v>1</v>
      </c>
      <c r="D303" s="17" t="s">
        <v>131</v>
      </c>
      <c r="E303" s="18">
        <v>5</v>
      </c>
      <c r="F303" s="18">
        <v>0.2</v>
      </c>
      <c r="G303" s="18">
        <v>1</v>
      </c>
      <c r="H303" s="18">
        <v>0.2</v>
      </c>
      <c r="I303" s="18">
        <v>5</v>
      </c>
      <c r="J303" s="18">
        <v>5</v>
      </c>
      <c r="K303" s="19">
        <f t="shared" si="36"/>
        <v>18.399999999999999</v>
      </c>
      <c r="L303" s="20">
        <f t="shared" si="37"/>
        <v>0.11616161616161617</v>
      </c>
    </row>
    <row r="304" spans="1:12" x14ac:dyDescent="0.25">
      <c r="A304" s="16" t="s">
        <v>123</v>
      </c>
      <c r="B304" s="22">
        <v>0.2</v>
      </c>
      <c r="C304" s="18">
        <v>0.2</v>
      </c>
      <c r="D304" s="18">
        <v>0.2</v>
      </c>
      <c r="E304" s="17" t="s">
        <v>131</v>
      </c>
      <c r="F304" s="18">
        <v>0.2</v>
      </c>
      <c r="G304" s="18">
        <v>0.2</v>
      </c>
      <c r="H304" s="18">
        <v>0.2</v>
      </c>
      <c r="I304" s="18">
        <v>1</v>
      </c>
      <c r="J304" s="22">
        <v>1</v>
      </c>
      <c r="K304" s="19">
        <f t="shared" si="36"/>
        <v>3.2</v>
      </c>
      <c r="L304" s="20">
        <f t="shared" si="37"/>
        <v>2.0202020202020207E-2</v>
      </c>
    </row>
    <row r="305" spans="1:12" x14ac:dyDescent="0.25">
      <c r="A305" s="16" t="s">
        <v>124</v>
      </c>
      <c r="B305" s="22">
        <v>5</v>
      </c>
      <c r="C305" s="45">
        <v>5</v>
      </c>
      <c r="D305" s="18">
        <v>5</v>
      </c>
      <c r="E305" s="18">
        <v>5</v>
      </c>
      <c r="F305" s="17" t="s">
        <v>131</v>
      </c>
      <c r="G305" s="18">
        <v>5</v>
      </c>
      <c r="H305" s="18">
        <v>5</v>
      </c>
      <c r="I305" s="18">
        <v>5</v>
      </c>
      <c r="J305" s="22">
        <v>5</v>
      </c>
      <c r="K305" s="19">
        <f t="shared" si="36"/>
        <v>40</v>
      </c>
      <c r="L305" s="20">
        <f t="shared" si="37"/>
        <v>0.25252525252525254</v>
      </c>
    </row>
    <row r="306" spans="1:12" x14ac:dyDescent="0.25">
      <c r="A306" s="16" t="s">
        <v>125</v>
      </c>
      <c r="B306" s="22">
        <v>1</v>
      </c>
      <c r="C306" s="18">
        <v>1</v>
      </c>
      <c r="D306" s="18">
        <v>1</v>
      </c>
      <c r="E306" s="18">
        <v>5</v>
      </c>
      <c r="F306" s="18">
        <v>0.2</v>
      </c>
      <c r="G306" s="17" t="s">
        <v>131</v>
      </c>
      <c r="H306" s="22">
        <v>0.2</v>
      </c>
      <c r="I306" s="22">
        <v>5</v>
      </c>
      <c r="J306" s="22">
        <v>5</v>
      </c>
      <c r="K306" s="19">
        <f t="shared" si="36"/>
        <v>18.399999999999999</v>
      </c>
      <c r="L306" s="20">
        <f t="shared" si="37"/>
        <v>0.11616161616161617</v>
      </c>
    </row>
    <row r="307" spans="1:12" x14ac:dyDescent="0.25">
      <c r="A307" s="16" t="s">
        <v>126</v>
      </c>
      <c r="B307" s="22">
        <v>5</v>
      </c>
      <c r="C307" s="18">
        <v>5</v>
      </c>
      <c r="D307" s="18">
        <v>5</v>
      </c>
      <c r="E307" s="18">
        <v>5</v>
      </c>
      <c r="F307" s="18">
        <v>0.2</v>
      </c>
      <c r="G307" s="22">
        <v>5</v>
      </c>
      <c r="H307" s="17" t="s">
        <v>131</v>
      </c>
      <c r="I307" s="22">
        <v>5</v>
      </c>
      <c r="J307" s="22">
        <v>5</v>
      </c>
      <c r="K307" s="19">
        <f t="shared" si="36"/>
        <v>35.200000000000003</v>
      </c>
      <c r="L307" s="20">
        <f t="shared" si="37"/>
        <v>0.22222222222222227</v>
      </c>
    </row>
    <row r="308" spans="1:12" x14ac:dyDescent="0.25">
      <c r="A308" s="16" t="s">
        <v>127</v>
      </c>
      <c r="B308" s="22">
        <v>0.2</v>
      </c>
      <c r="C308" s="18">
        <v>0.2</v>
      </c>
      <c r="D308" s="18">
        <v>0.2</v>
      </c>
      <c r="E308" s="18">
        <v>1</v>
      </c>
      <c r="F308" s="18">
        <v>0.2</v>
      </c>
      <c r="G308" s="22">
        <v>0.2</v>
      </c>
      <c r="H308" s="22">
        <v>0.2</v>
      </c>
      <c r="I308" s="17" t="s">
        <v>131</v>
      </c>
      <c r="J308" s="22">
        <v>1</v>
      </c>
      <c r="K308" s="19">
        <f t="shared" si="36"/>
        <v>3.2</v>
      </c>
      <c r="L308" s="20">
        <f t="shared" si="37"/>
        <v>2.0202020202020207E-2</v>
      </c>
    </row>
    <row r="309" spans="1:12" x14ac:dyDescent="0.25">
      <c r="A309" s="16" t="s">
        <v>128</v>
      </c>
      <c r="B309" s="75">
        <v>0.2</v>
      </c>
      <c r="C309" s="45">
        <v>0.2</v>
      </c>
      <c r="D309" s="18">
        <v>0.2</v>
      </c>
      <c r="E309" s="22">
        <v>1</v>
      </c>
      <c r="F309" s="22">
        <v>0.2</v>
      </c>
      <c r="G309" s="22">
        <v>0.2</v>
      </c>
      <c r="H309" s="22">
        <v>0.2</v>
      </c>
      <c r="I309" s="22">
        <v>1</v>
      </c>
      <c r="J309" s="17" t="s">
        <v>131</v>
      </c>
      <c r="K309" s="19">
        <f t="shared" si="36"/>
        <v>3.2</v>
      </c>
      <c r="L309" s="20">
        <f t="shared" si="37"/>
        <v>2.0202020202020207E-2</v>
      </c>
    </row>
    <row r="310" spans="1:12" x14ac:dyDescent="0.25">
      <c r="A310" s="133" t="s">
        <v>129</v>
      </c>
      <c r="B310" s="124"/>
      <c r="C310" s="124"/>
      <c r="D310" s="124"/>
      <c r="E310" s="124"/>
      <c r="F310" s="124"/>
      <c r="G310" s="124"/>
      <c r="H310" s="124"/>
      <c r="I310" s="124"/>
      <c r="J310" s="124"/>
      <c r="K310" s="18">
        <f>SUM(K301:K309)</f>
        <v>158.39999999999998</v>
      </c>
      <c r="L310" s="21">
        <f>SUM(L301:L309)</f>
        <v>1.0000000000000002</v>
      </c>
    </row>
    <row r="313" spans="1:12" x14ac:dyDescent="0.25">
      <c r="A313" s="125" t="s">
        <v>117</v>
      </c>
      <c r="B313" s="125" t="s">
        <v>150</v>
      </c>
      <c r="C313" s="126"/>
      <c r="D313" s="127"/>
    </row>
    <row r="314" spans="1:12" x14ac:dyDescent="0.25">
      <c r="A314" s="132"/>
      <c r="B314" s="128"/>
      <c r="C314" s="129"/>
      <c r="D314" s="130"/>
    </row>
    <row r="315" spans="1:12" x14ac:dyDescent="0.25">
      <c r="A315" s="123" t="s">
        <v>119</v>
      </c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09"/>
    </row>
    <row r="316" spans="1:12" ht="38.25" customHeight="1" x14ac:dyDescent="0.25">
      <c r="A316" s="14"/>
      <c r="B316" s="15" t="s">
        <v>120</v>
      </c>
      <c r="C316" s="15" t="s">
        <v>121</v>
      </c>
      <c r="D316" s="15" t="s">
        <v>122</v>
      </c>
      <c r="E316" s="15" t="s">
        <v>123</v>
      </c>
      <c r="F316" s="15" t="s">
        <v>124</v>
      </c>
      <c r="G316" s="15" t="s">
        <v>125</v>
      </c>
      <c r="H316" s="15" t="s">
        <v>126</v>
      </c>
      <c r="I316" s="15" t="s">
        <v>127</v>
      </c>
      <c r="J316" s="15" t="s">
        <v>128</v>
      </c>
      <c r="K316" s="15" t="s">
        <v>129</v>
      </c>
      <c r="L316" s="15" t="s">
        <v>130</v>
      </c>
    </row>
    <row r="317" spans="1:12" x14ac:dyDescent="0.25">
      <c r="A317" s="16" t="s">
        <v>120</v>
      </c>
      <c r="B317" s="17" t="s">
        <v>131</v>
      </c>
      <c r="C317" s="22">
        <v>0.1</v>
      </c>
      <c r="D317" s="22">
        <v>0.2</v>
      </c>
      <c r="E317" s="22">
        <v>1</v>
      </c>
      <c r="F317" s="22">
        <v>0.2</v>
      </c>
      <c r="G317" s="22">
        <v>0.1</v>
      </c>
      <c r="H317" s="22">
        <v>0.2</v>
      </c>
      <c r="I317" s="22">
        <v>1</v>
      </c>
      <c r="J317" s="22">
        <v>1</v>
      </c>
      <c r="K317" s="19">
        <f t="shared" ref="K317:K325" si="38">SUM(B317:J317)</f>
        <v>3.8</v>
      </c>
      <c r="L317" s="20">
        <f t="shared" ref="L317:L325" si="39">K317/$K$326</f>
        <v>1.9066733567486199E-2</v>
      </c>
    </row>
    <row r="318" spans="1:12" x14ac:dyDescent="0.25">
      <c r="A318" s="16" t="s">
        <v>121</v>
      </c>
      <c r="B318" s="22">
        <v>10</v>
      </c>
      <c r="C318" s="17" t="s">
        <v>131</v>
      </c>
      <c r="D318" s="18">
        <v>5</v>
      </c>
      <c r="E318" s="18">
        <v>10</v>
      </c>
      <c r="F318" s="18">
        <v>5</v>
      </c>
      <c r="G318" s="18">
        <v>1</v>
      </c>
      <c r="H318" s="18">
        <v>10</v>
      </c>
      <c r="I318" s="18">
        <v>10</v>
      </c>
      <c r="J318" s="18">
        <v>10</v>
      </c>
      <c r="K318" s="19">
        <f t="shared" si="38"/>
        <v>61</v>
      </c>
      <c r="L318" s="20">
        <f t="shared" si="39"/>
        <v>0.30607124937280478</v>
      </c>
    </row>
    <row r="319" spans="1:12" x14ac:dyDescent="0.25">
      <c r="A319" s="16" t="s">
        <v>122</v>
      </c>
      <c r="B319" s="22">
        <v>5</v>
      </c>
      <c r="C319" s="18">
        <v>0.2</v>
      </c>
      <c r="D319" s="17" t="s">
        <v>131</v>
      </c>
      <c r="E319" s="18">
        <v>5</v>
      </c>
      <c r="F319" s="18">
        <v>1</v>
      </c>
      <c r="G319" s="18">
        <v>0.2</v>
      </c>
      <c r="H319" s="18">
        <v>1</v>
      </c>
      <c r="I319" s="18">
        <v>5</v>
      </c>
      <c r="J319" s="18">
        <v>5</v>
      </c>
      <c r="K319" s="19">
        <f t="shared" si="38"/>
        <v>22.4</v>
      </c>
      <c r="L319" s="20">
        <f t="shared" si="39"/>
        <v>0.11239337681886602</v>
      </c>
    </row>
    <row r="320" spans="1:12" x14ac:dyDescent="0.25">
      <c r="A320" s="16" t="s">
        <v>123</v>
      </c>
      <c r="B320" s="22">
        <v>1</v>
      </c>
      <c r="C320" s="18">
        <v>0.1</v>
      </c>
      <c r="D320" s="18">
        <v>0.2</v>
      </c>
      <c r="E320" s="17" t="s">
        <v>131</v>
      </c>
      <c r="F320" s="18">
        <v>0.2</v>
      </c>
      <c r="G320" s="18">
        <v>0.1</v>
      </c>
      <c r="H320" s="18">
        <v>0.2</v>
      </c>
      <c r="I320" s="18">
        <v>1</v>
      </c>
      <c r="J320" s="22">
        <v>1</v>
      </c>
      <c r="K320" s="19">
        <f t="shared" si="38"/>
        <v>3.8</v>
      </c>
      <c r="L320" s="20">
        <f t="shared" si="39"/>
        <v>1.9066733567486199E-2</v>
      </c>
    </row>
    <row r="321" spans="1:12" x14ac:dyDescent="0.25">
      <c r="A321" s="16" t="s">
        <v>124</v>
      </c>
      <c r="B321" s="22">
        <v>5</v>
      </c>
      <c r="C321" s="45">
        <v>0.2</v>
      </c>
      <c r="D321" s="18">
        <v>1</v>
      </c>
      <c r="E321" s="18">
        <v>5</v>
      </c>
      <c r="F321" s="17" t="s">
        <v>131</v>
      </c>
      <c r="G321" s="18">
        <v>0.2</v>
      </c>
      <c r="H321" s="18">
        <v>1</v>
      </c>
      <c r="I321" s="18">
        <v>5</v>
      </c>
      <c r="J321" s="22">
        <v>5</v>
      </c>
      <c r="K321" s="19">
        <f t="shared" si="38"/>
        <v>22.4</v>
      </c>
      <c r="L321" s="20">
        <f t="shared" si="39"/>
        <v>0.11239337681886602</v>
      </c>
    </row>
    <row r="322" spans="1:12" x14ac:dyDescent="0.25">
      <c r="A322" s="16" t="s">
        <v>125</v>
      </c>
      <c r="B322" s="22">
        <v>10</v>
      </c>
      <c r="C322" s="18">
        <v>1</v>
      </c>
      <c r="D322" s="18">
        <v>5</v>
      </c>
      <c r="E322" s="18">
        <v>10</v>
      </c>
      <c r="F322" s="18">
        <v>5</v>
      </c>
      <c r="G322" s="17" t="s">
        <v>131</v>
      </c>
      <c r="H322" s="22">
        <v>5</v>
      </c>
      <c r="I322" s="22">
        <v>10</v>
      </c>
      <c r="J322" s="22">
        <v>10</v>
      </c>
      <c r="K322" s="19">
        <f t="shared" si="38"/>
        <v>56</v>
      </c>
      <c r="L322" s="20">
        <f t="shared" si="39"/>
        <v>0.28098344204716508</v>
      </c>
    </row>
    <row r="323" spans="1:12" x14ac:dyDescent="0.25">
      <c r="A323" s="16" t="s">
        <v>126</v>
      </c>
      <c r="B323" s="22">
        <v>5</v>
      </c>
      <c r="C323" s="18">
        <v>0.1</v>
      </c>
      <c r="D323" s="18">
        <v>1</v>
      </c>
      <c r="E323" s="18">
        <v>5</v>
      </c>
      <c r="F323" s="18">
        <v>1</v>
      </c>
      <c r="G323" s="22">
        <v>0.2</v>
      </c>
      <c r="H323" s="17" t="s">
        <v>131</v>
      </c>
      <c r="I323" s="22">
        <v>5</v>
      </c>
      <c r="J323" s="22">
        <v>5</v>
      </c>
      <c r="K323" s="19">
        <f t="shared" si="38"/>
        <v>22.299999999999997</v>
      </c>
      <c r="L323" s="20">
        <f t="shared" si="39"/>
        <v>0.11189162067235321</v>
      </c>
    </row>
    <row r="324" spans="1:12" x14ac:dyDescent="0.25">
      <c r="A324" s="16" t="s">
        <v>127</v>
      </c>
      <c r="B324" s="22">
        <v>1</v>
      </c>
      <c r="C324" s="18">
        <v>0.1</v>
      </c>
      <c r="D324" s="18">
        <v>0.2</v>
      </c>
      <c r="E324" s="18">
        <v>1</v>
      </c>
      <c r="F324" s="18">
        <v>0.2</v>
      </c>
      <c r="G324" s="22">
        <v>0.1</v>
      </c>
      <c r="H324" s="22">
        <v>0.2</v>
      </c>
      <c r="I324" s="17" t="s">
        <v>131</v>
      </c>
      <c r="J324" s="22">
        <v>1</v>
      </c>
      <c r="K324" s="19">
        <f t="shared" si="38"/>
        <v>3.8000000000000003</v>
      </c>
      <c r="L324" s="20">
        <f t="shared" si="39"/>
        <v>1.9066733567486203E-2</v>
      </c>
    </row>
    <row r="325" spans="1:12" x14ac:dyDescent="0.25">
      <c r="A325" s="16" t="s">
        <v>128</v>
      </c>
      <c r="B325" s="75">
        <v>1</v>
      </c>
      <c r="C325" s="45">
        <v>0.1</v>
      </c>
      <c r="D325" s="18">
        <v>0.2</v>
      </c>
      <c r="E325" s="22">
        <v>1</v>
      </c>
      <c r="F325" s="22">
        <v>0.2</v>
      </c>
      <c r="G325" s="22">
        <v>0.1</v>
      </c>
      <c r="H325" s="22">
        <v>0.2</v>
      </c>
      <c r="I325" s="22">
        <v>1</v>
      </c>
      <c r="J325" s="17" t="s">
        <v>131</v>
      </c>
      <c r="K325" s="19">
        <f t="shared" si="38"/>
        <v>3.8000000000000003</v>
      </c>
      <c r="L325" s="20">
        <f t="shared" si="39"/>
        <v>1.9066733567486203E-2</v>
      </c>
    </row>
    <row r="326" spans="1:12" x14ac:dyDescent="0.25">
      <c r="A326" s="133" t="s">
        <v>129</v>
      </c>
      <c r="B326" s="124"/>
      <c r="C326" s="124"/>
      <c r="D326" s="124"/>
      <c r="E326" s="124"/>
      <c r="F326" s="124"/>
      <c r="G326" s="124"/>
      <c r="H326" s="124"/>
      <c r="I326" s="124"/>
      <c r="J326" s="124"/>
      <c r="K326" s="18">
        <f>SUM(K317:K325)</f>
        <v>199.3</v>
      </c>
      <c r="L326" s="21">
        <f>SUM(L317:L325)</f>
        <v>1</v>
      </c>
    </row>
    <row r="329" spans="1:12" x14ac:dyDescent="0.25">
      <c r="A329" s="125" t="s">
        <v>117</v>
      </c>
      <c r="B329" s="125" t="s">
        <v>151</v>
      </c>
      <c r="C329" s="126"/>
      <c r="D329" s="127"/>
    </row>
    <row r="330" spans="1:12" x14ac:dyDescent="0.25">
      <c r="A330" s="132"/>
      <c r="B330" s="128"/>
      <c r="C330" s="129"/>
      <c r="D330" s="130"/>
    </row>
    <row r="331" spans="1:12" x14ac:dyDescent="0.25">
      <c r="A331" s="123" t="s">
        <v>119</v>
      </c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09"/>
    </row>
    <row r="332" spans="1:12" ht="38.25" customHeight="1" x14ac:dyDescent="0.25">
      <c r="A332" s="14"/>
      <c r="B332" s="15" t="s">
        <v>120</v>
      </c>
      <c r="C332" s="15" t="s">
        <v>121</v>
      </c>
      <c r="D332" s="15" t="s">
        <v>122</v>
      </c>
      <c r="E332" s="15" t="s">
        <v>123</v>
      </c>
      <c r="F332" s="15" t="s">
        <v>124</v>
      </c>
      <c r="G332" s="15" t="s">
        <v>125</v>
      </c>
      <c r="H332" s="15" t="s">
        <v>126</v>
      </c>
      <c r="I332" s="15" t="s">
        <v>127</v>
      </c>
      <c r="J332" s="15" t="s">
        <v>128</v>
      </c>
      <c r="K332" s="15" t="s">
        <v>129</v>
      </c>
      <c r="L332" s="15" t="s">
        <v>130</v>
      </c>
    </row>
    <row r="333" spans="1:12" x14ac:dyDescent="0.25">
      <c r="A333" s="16" t="s">
        <v>120</v>
      </c>
      <c r="B333" s="17" t="s">
        <v>131</v>
      </c>
      <c r="C333" s="22">
        <v>0.1</v>
      </c>
      <c r="D333" s="22">
        <v>0.2</v>
      </c>
      <c r="E333" s="22">
        <v>1</v>
      </c>
      <c r="F333" s="22">
        <v>0.2</v>
      </c>
      <c r="G333" s="22">
        <v>0.1</v>
      </c>
      <c r="H333" s="22">
        <v>0.2</v>
      </c>
      <c r="I333" s="22">
        <v>1</v>
      </c>
      <c r="J333" s="22">
        <v>1</v>
      </c>
      <c r="K333" s="19">
        <f t="shared" ref="K333:K341" si="40">SUM(B333:J333)</f>
        <v>3.8</v>
      </c>
      <c r="L333" s="20">
        <f t="shared" ref="L333:L341" si="41">K333/$K$342</f>
        <v>1.9066733567486199E-2</v>
      </c>
    </row>
    <row r="334" spans="1:12" x14ac:dyDescent="0.25">
      <c r="A334" s="16" t="s">
        <v>121</v>
      </c>
      <c r="B334" s="22">
        <v>10</v>
      </c>
      <c r="C334" s="17" t="s">
        <v>131</v>
      </c>
      <c r="D334" s="18">
        <v>5</v>
      </c>
      <c r="E334" s="18">
        <v>10</v>
      </c>
      <c r="F334" s="18">
        <v>5</v>
      </c>
      <c r="G334" s="18">
        <v>1</v>
      </c>
      <c r="H334" s="18">
        <v>10</v>
      </c>
      <c r="I334" s="18">
        <v>10</v>
      </c>
      <c r="J334" s="18">
        <v>10</v>
      </c>
      <c r="K334" s="19">
        <f t="shared" si="40"/>
        <v>61</v>
      </c>
      <c r="L334" s="20">
        <f t="shared" si="41"/>
        <v>0.30607124937280478</v>
      </c>
    </row>
    <row r="335" spans="1:12" x14ac:dyDescent="0.25">
      <c r="A335" s="16" t="s">
        <v>122</v>
      </c>
      <c r="B335" s="22">
        <v>5</v>
      </c>
      <c r="C335" s="18">
        <v>0.2</v>
      </c>
      <c r="D335" s="17" t="s">
        <v>131</v>
      </c>
      <c r="E335" s="18">
        <v>5</v>
      </c>
      <c r="F335" s="18">
        <v>1</v>
      </c>
      <c r="G335" s="18">
        <v>0.2</v>
      </c>
      <c r="H335" s="18">
        <v>1</v>
      </c>
      <c r="I335" s="18">
        <v>5</v>
      </c>
      <c r="J335" s="18">
        <v>5</v>
      </c>
      <c r="K335" s="19">
        <f t="shared" si="40"/>
        <v>22.4</v>
      </c>
      <c r="L335" s="20">
        <f t="shared" si="41"/>
        <v>0.11239337681886602</v>
      </c>
    </row>
    <row r="336" spans="1:12" x14ac:dyDescent="0.25">
      <c r="A336" s="16" t="s">
        <v>123</v>
      </c>
      <c r="B336" s="22">
        <v>1</v>
      </c>
      <c r="C336" s="18">
        <v>0.1</v>
      </c>
      <c r="D336" s="18">
        <v>0.2</v>
      </c>
      <c r="E336" s="17" t="s">
        <v>131</v>
      </c>
      <c r="F336" s="18">
        <v>0.2</v>
      </c>
      <c r="G336" s="18">
        <v>0.1</v>
      </c>
      <c r="H336" s="18">
        <v>0.2</v>
      </c>
      <c r="I336" s="18">
        <v>1</v>
      </c>
      <c r="J336" s="22">
        <v>1</v>
      </c>
      <c r="K336" s="19">
        <f t="shared" si="40"/>
        <v>3.8</v>
      </c>
      <c r="L336" s="20">
        <f t="shared" si="41"/>
        <v>1.9066733567486199E-2</v>
      </c>
    </row>
    <row r="337" spans="1:12" x14ac:dyDescent="0.25">
      <c r="A337" s="16" t="s">
        <v>124</v>
      </c>
      <c r="B337" s="22">
        <v>5</v>
      </c>
      <c r="C337" s="45">
        <v>0.2</v>
      </c>
      <c r="D337" s="18">
        <v>1</v>
      </c>
      <c r="E337" s="18">
        <v>5</v>
      </c>
      <c r="F337" s="17" t="s">
        <v>131</v>
      </c>
      <c r="G337" s="18">
        <v>0.2</v>
      </c>
      <c r="H337" s="18">
        <v>1</v>
      </c>
      <c r="I337" s="18">
        <v>5</v>
      </c>
      <c r="J337" s="22">
        <v>5</v>
      </c>
      <c r="K337" s="19">
        <f t="shared" si="40"/>
        <v>22.4</v>
      </c>
      <c r="L337" s="20">
        <f t="shared" si="41"/>
        <v>0.11239337681886602</v>
      </c>
    </row>
    <row r="338" spans="1:12" x14ac:dyDescent="0.25">
      <c r="A338" s="16" t="s">
        <v>125</v>
      </c>
      <c r="B338" s="22">
        <v>10</v>
      </c>
      <c r="C338" s="18">
        <v>1</v>
      </c>
      <c r="D338" s="18">
        <v>5</v>
      </c>
      <c r="E338" s="18">
        <v>10</v>
      </c>
      <c r="F338" s="18">
        <v>5</v>
      </c>
      <c r="G338" s="17" t="s">
        <v>131</v>
      </c>
      <c r="H338" s="22">
        <v>5</v>
      </c>
      <c r="I338" s="22">
        <v>10</v>
      </c>
      <c r="J338" s="22">
        <v>10</v>
      </c>
      <c r="K338" s="19">
        <f t="shared" si="40"/>
        <v>56</v>
      </c>
      <c r="L338" s="20">
        <f t="shared" si="41"/>
        <v>0.28098344204716508</v>
      </c>
    </row>
    <row r="339" spans="1:12" x14ac:dyDescent="0.25">
      <c r="A339" s="16" t="s">
        <v>126</v>
      </c>
      <c r="B339" s="22">
        <v>5</v>
      </c>
      <c r="C339" s="18">
        <v>0.1</v>
      </c>
      <c r="D339" s="18">
        <v>1</v>
      </c>
      <c r="E339" s="18">
        <v>5</v>
      </c>
      <c r="F339" s="18">
        <v>1</v>
      </c>
      <c r="G339" s="22">
        <v>0.2</v>
      </c>
      <c r="H339" s="17" t="s">
        <v>131</v>
      </c>
      <c r="I339" s="22">
        <v>5</v>
      </c>
      <c r="J339" s="22">
        <v>5</v>
      </c>
      <c r="K339" s="19">
        <f t="shared" si="40"/>
        <v>22.299999999999997</v>
      </c>
      <c r="L339" s="20">
        <f t="shared" si="41"/>
        <v>0.11189162067235321</v>
      </c>
    </row>
    <row r="340" spans="1:12" x14ac:dyDescent="0.25">
      <c r="A340" s="16" t="s">
        <v>127</v>
      </c>
      <c r="B340" s="22">
        <v>1</v>
      </c>
      <c r="C340" s="18">
        <v>0.1</v>
      </c>
      <c r="D340" s="18">
        <v>0.2</v>
      </c>
      <c r="E340" s="18">
        <v>1</v>
      </c>
      <c r="F340" s="18">
        <v>0.2</v>
      </c>
      <c r="G340" s="22">
        <v>0.1</v>
      </c>
      <c r="H340" s="22">
        <v>0.2</v>
      </c>
      <c r="I340" s="17" t="s">
        <v>131</v>
      </c>
      <c r="J340" s="22">
        <v>1</v>
      </c>
      <c r="K340" s="19">
        <f t="shared" si="40"/>
        <v>3.8000000000000003</v>
      </c>
      <c r="L340" s="20">
        <f t="shared" si="41"/>
        <v>1.9066733567486203E-2</v>
      </c>
    </row>
    <row r="341" spans="1:12" x14ac:dyDescent="0.25">
      <c r="A341" s="16" t="s">
        <v>128</v>
      </c>
      <c r="B341" s="75">
        <v>1</v>
      </c>
      <c r="C341" s="45">
        <v>0.1</v>
      </c>
      <c r="D341" s="18">
        <v>0.2</v>
      </c>
      <c r="E341" s="22">
        <v>1</v>
      </c>
      <c r="F341" s="22">
        <v>0.2</v>
      </c>
      <c r="G341" s="22">
        <v>0.1</v>
      </c>
      <c r="H341" s="22">
        <v>0.2</v>
      </c>
      <c r="I341" s="22">
        <v>1</v>
      </c>
      <c r="J341" s="17" t="s">
        <v>131</v>
      </c>
      <c r="K341" s="19">
        <f t="shared" si="40"/>
        <v>3.8000000000000003</v>
      </c>
      <c r="L341" s="20">
        <f t="shared" si="41"/>
        <v>1.9066733567486203E-2</v>
      </c>
    </row>
    <row r="342" spans="1:12" x14ac:dyDescent="0.25">
      <c r="A342" s="133" t="s">
        <v>129</v>
      </c>
      <c r="B342" s="124"/>
      <c r="C342" s="124"/>
      <c r="D342" s="124"/>
      <c r="E342" s="124"/>
      <c r="F342" s="124"/>
      <c r="G342" s="124"/>
      <c r="H342" s="124"/>
      <c r="I342" s="124"/>
      <c r="J342" s="124"/>
      <c r="K342" s="18">
        <f>SUM(K333:K341)</f>
        <v>199.3</v>
      </c>
      <c r="L342" s="21">
        <f>SUM(L333:L341)</f>
        <v>1</v>
      </c>
    </row>
    <row r="345" spans="1:12" x14ac:dyDescent="0.25">
      <c r="A345" s="125" t="s">
        <v>117</v>
      </c>
      <c r="B345" s="125" t="s">
        <v>152</v>
      </c>
      <c r="C345" s="126"/>
      <c r="D345" s="127"/>
    </row>
    <row r="346" spans="1:12" x14ac:dyDescent="0.25">
      <c r="A346" s="132"/>
      <c r="B346" s="128"/>
      <c r="C346" s="129"/>
      <c r="D346" s="130"/>
    </row>
    <row r="347" spans="1:12" x14ac:dyDescent="0.25">
      <c r="A347" s="123" t="s">
        <v>119</v>
      </c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09"/>
    </row>
    <row r="348" spans="1:12" ht="38.25" customHeight="1" x14ac:dyDescent="0.25">
      <c r="A348" s="14"/>
      <c r="B348" s="15" t="s">
        <v>120</v>
      </c>
      <c r="C348" s="15" t="s">
        <v>121</v>
      </c>
      <c r="D348" s="15" t="s">
        <v>122</v>
      </c>
      <c r="E348" s="15" t="s">
        <v>123</v>
      </c>
      <c r="F348" s="15" t="s">
        <v>124</v>
      </c>
      <c r="G348" s="15" t="s">
        <v>125</v>
      </c>
      <c r="H348" s="15" t="s">
        <v>126</v>
      </c>
      <c r="I348" s="15" t="s">
        <v>127</v>
      </c>
      <c r="J348" s="15" t="s">
        <v>128</v>
      </c>
      <c r="K348" s="15" t="s">
        <v>129</v>
      </c>
      <c r="L348" s="15" t="s">
        <v>130</v>
      </c>
    </row>
    <row r="349" spans="1:12" x14ac:dyDescent="0.25">
      <c r="A349" s="16" t="s">
        <v>120</v>
      </c>
      <c r="B349" s="17" t="s">
        <v>131</v>
      </c>
      <c r="C349" s="22">
        <v>0.1</v>
      </c>
      <c r="D349" s="22">
        <v>0.2</v>
      </c>
      <c r="E349" s="22">
        <v>1</v>
      </c>
      <c r="F349" s="22">
        <v>0.2</v>
      </c>
      <c r="G349" s="22">
        <v>0.1</v>
      </c>
      <c r="H349" s="22">
        <v>0.2</v>
      </c>
      <c r="I349" s="22">
        <v>1</v>
      </c>
      <c r="J349" s="22">
        <v>1</v>
      </c>
      <c r="K349" s="19">
        <f t="shared" ref="K349:K357" si="42">SUM(B349:J349)</f>
        <v>3.8</v>
      </c>
      <c r="L349" s="20">
        <f t="shared" ref="L349:L357" si="43">K349/$K$358</f>
        <v>1.9066733567486199E-2</v>
      </c>
    </row>
    <row r="350" spans="1:12" x14ac:dyDescent="0.25">
      <c r="A350" s="16" t="s">
        <v>121</v>
      </c>
      <c r="B350" s="22">
        <v>10</v>
      </c>
      <c r="C350" s="17" t="s">
        <v>131</v>
      </c>
      <c r="D350" s="18">
        <v>5</v>
      </c>
      <c r="E350" s="18">
        <v>10</v>
      </c>
      <c r="F350" s="18">
        <v>5</v>
      </c>
      <c r="G350" s="18">
        <v>1</v>
      </c>
      <c r="H350" s="18">
        <v>10</v>
      </c>
      <c r="I350" s="18">
        <v>10</v>
      </c>
      <c r="J350" s="18">
        <v>10</v>
      </c>
      <c r="K350" s="19">
        <f t="shared" si="42"/>
        <v>61</v>
      </c>
      <c r="L350" s="20">
        <f t="shared" si="43"/>
        <v>0.30607124937280478</v>
      </c>
    </row>
    <row r="351" spans="1:12" x14ac:dyDescent="0.25">
      <c r="A351" s="16" t="s">
        <v>122</v>
      </c>
      <c r="B351" s="22">
        <v>5</v>
      </c>
      <c r="C351" s="18">
        <v>0.2</v>
      </c>
      <c r="D351" s="17" t="s">
        <v>131</v>
      </c>
      <c r="E351" s="18">
        <v>5</v>
      </c>
      <c r="F351" s="18">
        <v>1</v>
      </c>
      <c r="G351" s="18">
        <v>0.2</v>
      </c>
      <c r="H351" s="18">
        <v>1</v>
      </c>
      <c r="I351" s="18">
        <v>5</v>
      </c>
      <c r="J351" s="18">
        <v>5</v>
      </c>
      <c r="K351" s="19">
        <f t="shared" si="42"/>
        <v>22.4</v>
      </c>
      <c r="L351" s="20">
        <f t="shared" si="43"/>
        <v>0.11239337681886602</v>
      </c>
    </row>
    <row r="352" spans="1:12" x14ac:dyDescent="0.25">
      <c r="A352" s="16" t="s">
        <v>123</v>
      </c>
      <c r="B352" s="22">
        <v>1</v>
      </c>
      <c r="C352" s="18">
        <v>0.1</v>
      </c>
      <c r="D352" s="18">
        <v>0.2</v>
      </c>
      <c r="E352" s="17" t="s">
        <v>131</v>
      </c>
      <c r="F352" s="18">
        <v>0.2</v>
      </c>
      <c r="G352" s="18">
        <v>0.1</v>
      </c>
      <c r="H352" s="18">
        <v>0.2</v>
      </c>
      <c r="I352" s="18">
        <v>1</v>
      </c>
      <c r="J352" s="22">
        <v>1</v>
      </c>
      <c r="K352" s="19">
        <f t="shared" si="42"/>
        <v>3.8</v>
      </c>
      <c r="L352" s="20">
        <f t="shared" si="43"/>
        <v>1.9066733567486199E-2</v>
      </c>
    </row>
    <row r="353" spans="1:12" x14ac:dyDescent="0.25">
      <c r="A353" s="16" t="s">
        <v>124</v>
      </c>
      <c r="B353" s="22">
        <v>5</v>
      </c>
      <c r="C353" s="45">
        <v>0.2</v>
      </c>
      <c r="D353" s="18">
        <v>1</v>
      </c>
      <c r="E353" s="18">
        <v>5</v>
      </c>
      <c r="F353" s="17" t="s">
        <v>131</v>
      </c>
      <c r="G353" s="18">
        <v>0.2</v>
      </c>
      <c r="H353" s="18">
        <v>1</v>
      </c>
      <c r="I353" s="18">
        <v>5</v>
      </c>
      <c r="J353" s="22">
        <v>5</v>
      </c>
      <c r="K353" s="19">
        <f t="shared" si="42"/>
        <v>22.4</v>
      </c>
      <c r="L353" s="20">
        <f t="shared" si="43"/>
        <v>0.11239337681886602</v>
      </c>
    </row>
    <row r="354" spans="1:12" x14ac:dyDescent="0.25">
      <c r="A354" s="16" t="s">
        <v>125</v>
      </c>
      <c r="B354" s="22">
        <v>10</v>
      </c>
      <c r="C354" s="18">
        <v>1</v>
      </c>
      <c r="D354" s="18">
        <v>5</v>
      </c>
      <c r="E354" s="18">
        <v>10</v>
      </c>
      <c r="F354" s="18">
        <v>5</v>
      </c>
      <c r="G354" s="17" t="s">
        <v>131</v>
      </c>
      <c r="H354" s="22">
        <v>5</v>
      </c>
      <c r="I354" s="22">
        <v>10</v>
      </c>
      <c r="J354" s="22">
        <v>10</v>
      </c>
      <c r="K354" s="19">
        <f t="shared" si="42"/>
        <v>56</v>
      </c>
      <c r="L354" s="20">
        <f t="shared" si="43"/>
        <v>0.28098344204716508</v>
      </c>
    </row>
    <row r="355" spans="1:12" x14ac:dyDescent="0.25">
      <c r="A355" s="16" t="s">
        <v>126</v>
      </c>
      <c r="B355" s="22">
        <v>5</v>
      </c>
      <c r="C355" s="18">
        <v>0.1</v>
      </c>
      <c r="D355" s="18">
        <v>1</v>
      </c>
      <c r="E355" s="18">
        <v>5</v>
      </c>
      <c r="F355" s="18">
        <v>1</v>
      </c>
      <c r="G355" s="22">
        <v>0.2</v>
      </c>
      <c r="H355" s="17" t="s">
        <v>131</v>
      </c>
      <c r="I355" s="22">
        <v>5</v>
      </c>
      <c r="J355" s="22">
        <v>5</v>
      </c>
      <c r="K355" s="19">
        <f t="shared" si="42"/>
        <v>22.299999999999997</v>
      </c>
      <c r="L355" s="20">
        <f t="shared" si="43"/>
        <v>0.11189162067235321</v>
      </c>
    </row>
    <row r="356" spans="1:12" x14ac:dyDescent="0.25">
      <c r="A356" s="16" t="s">
        <v>127</v>
      </c>
      <c r="B356" s="22">
        <v>1</v>
      </c>
      <c r="C356" s="18">
        <v>0.1</v>
      </c>
      <c r="D356" s="18">
        <v>0.2</v>
      </c>
      <c r="E356" s="18">
        <v>1</v>
      </c>
      <c r="F356" s="18">
        <v>0.2</v>
      </c>
      <c r="G356" s="22">
        <v>0.1</v>
      </c>
      <c r="H356" s="22">
        <v>0.2</v>
      </c>
      <c r="I356" s="17" t="s">
        <v>131</v>
      </c>
      <c r="J356" s="22">
        <v>1</v>
      </c>
      <c r="K356" s="19">
        <f t="shared" si="42"/>
        <v>3.8000000000000003</v>
      </c>
      <c r="L356" s="20">
        <f t="shared" si="43"/>
        <v>1.9066733567486203E-2</v>
      </c>
    </row>
    <row r="357" spans="1:12" x14ac:dyDescent="0.25">
      <c r="A357" s="16" t="s">
        <v>128</v>
      </c>
      <c r="B357" s="75">
        <v>1</v>
      </c>
      <c r="C357" s="45">
        <v>0.1</v>
      </c>
      <c r="D357" s="18">
        <v>0.2</v>
      </c>
      <c r="E357" s="22">
        <v>1</v>
      </c>
      <c r="F357" s="22">
        <v>0.2</v>
      </c>
      <c r="G357" s="22">
        <v>0.1</v>
      </c>
      <c r="H357" s="22">
        <v>0.2</v>
      </c>
      <c r="I357" s="22">
        <v>1</v>
      </c>
      <c r="J357" s="17" t="s">
        <v>131</v>
      </c>
      <c r="K357" s="19">
        <f t="shared" si="42"/>
        <v>3.8000000000000003</v>
      </c>
      <c r="L357" s="20">
        <f t="shared" si="43"/>
        <v>1.9066733567486203E-2</v>
      </c>
    </row>
    <row r="358" spans="1:12" x14ac:dyDescent="0.25">
      <c r="A358" s="133" t="s">
        <v>129</v>
      </c>
      <c r="B358" s="124"/>
      <c r="C358" s="124"/>
      <c r="D358" s="124"/>
      <c r="E358" s="124"/>
      <c r="F358" s="124"/>
      <c r="G358" s="124"/>
      <c r="H358" s="124"/>
      <c r="I358" s="124"/>
      <c r="J358" s="124"/>
      <c r="K358" s="18">
        <f>SUM(K349:K357)</f>
        <v>199.3</v>
      </c>
      <c r="L358" s="21">
        <f>SUM(L349:L357)</f>
        <v>1</v>
      </c>
    </row>
    <row r="363" spans="1:12" x14ac:dyDescent="0.25">
      <c r="B363" s="15" t="s">
        <v>153</v>
      </c>
      <c r="C363" s="15" t="s">
        <v>154</v>
      </c>
      <c r="D363" s="15" t="s">
        <v>155</v>
      </c>
      <c r="E363" s="15" t="s">
        <v>156</v>
      </c>
      <c r="F363" s="15" t="s">
        <v>157</v>
      </c>
      <c r="G363" s="15" t="s">
        <v>158</v>
      </c>
    </row>
    <row r="364" spans="1:12" x14ac:dyDescent="0.25">
      <c r="B364" s="19" t="s">
        <v>159</v>
      </c>
      <c r="C364" s="19">
        <f>K22</f>
        <v>160.29999999999998</v>
      </c>
      <c r="D364" s="19" t="s">
        <v>120</v>
      </c>
      <c r="E364" s="19">
        <v>0.34310667</v>
      </c>
      <c r="F364" s="19" t="s">
        <v>160</v>
      </c>
      <c r="G364" s="19" t="s">
        <v>161</v>
      </c>
    </row>
    <row r="365" spans="1:12" x14ac:dyDescent="0.25">
      <c r="B365" s="19" t="s">
        <v>162</v>
      </c>
      <c r="C365" s="19">
        <f>K38</f>
        <v>160.29999999999998</v>
      </c>
      <c r="D365" s="19" t="s">
        <v>120</v>
      </c>
      <c r="E365" s="19">
        <v>0.34310667</v>
      </c>
      <c r="F365" s="19" t="s">
        <v>160</v>
      </c>
      <c r="G365" s="19" t="s">
        <v>163</v>
      </c>
    </row>
    <row r="366" spans="1:12" x14ac:dyDescent="0.25">
      <c r="B366" s="19" t="s">
        <v>164</v>
      </c>
      <c r="C366" s="19">
        <f>K54</f>
        <v>160.29999999999998</v>
      </c>
      <c r="D366" s="19" t="s">
        <v>120</v>
      </c>
      <c r="E366" s="19">
        <v>0.34310667</v>
      </c>
      <c r="F366" s="19" t="s">
        <v>160</v>
      </c>
      <c r="G366" s="19" t="s">
        <v>163</v>
      </c>
    </row>
    <row r="367" spans="1:12" x14ac:dyDescent="0.25">
      <c r="B367" s="19" t="s">
        <v>165</v>
      </c>
      <c r="C367" s="19">
        <f>K70</f>
        <v>160.29999999999998</v>
      </c>
      <c r="D367" s="19" t="s">
        <v>120</v>
      </c>
      <c r="E367" s="19">
        <v>0.34310667</v>
      </c>
      <c r="F367" s="19" t="s">
        <v>160</v>
      </c>
      <c r="G367" s="19" t="s">
        <v>163</v>
      </c>
    </row>
    <row r="368" spans="1:12" x14ac:dyDescent="0.25">
      <c r="B368" s="19" t="s">
        <v>166</v>
      </c>
      <c r="C368" s="19">
        <f>K86</f>
        <v>160.29999999999998</v>
      </c>
      <c r="D368" s="19" t="s">
        <v>120</v>
      </c>
      <c r="E368" s="19">
        <v>0.34310667</v>
      </c>
      <c r="F368" s="19" t="s">
        <v>160</v>
      </c>
      <c r="G368" s="19" t="s">
        <v>163</v>
      </c>
    </row>
    <row r="369" spans="2:7" x14ac:dyDescent="0.25">
      <c r="B369" s="19" t="s">
        <v>167</v>
      </c>
      <c r="C369" s="19">
        <f>K102</f>
        <v>158.39999999999998</v>
      </c>
      <c r="D369" s="19" t="s">
        <v>124</v>
      </c>
      <c r="E369" s="19">
        <v>0.25252524999999998</v>
      </c>
      <c r="F369" s="19" t="s">
        <v>160</v>
      </c>
      <c r="G369" s="19" t="s">
        <v>163</v>
      </c>
    </row>
    <row r="370" spans="2:7" x14ac:dyDescent="0.25">
      <c r="B370" s="19" t="s">
        <v>168</v>
      </c>
      <c r="C370" s="19">
        <f>K118</f>
        <v>158.39999999999998</v>
      </c>
      <c r="D370" s="19" t="s">
        <v>124</v>
      </c>
      <c r="E370" s="19">
        <v>0.25252524999999998</v>
      </c>
      <c r="F370" s="19" t="s">
        <v>160</v>
      </c>
      <c r="G370" s="19" t="s">
        <v>161</v>
      </c>
    </row>
    <row r="371" spans="2:7" x14ac:dyDescent="0.25">
      <c r="B371" s="19" t="s">
        <v>169</v>
      </c>
      <c r="C371" s="19">
        <f>K134</f>
        <v>158.39999999999998</v>
      </c>
      <c r="D371" s="19" t="s">
        <v>124</v>
      </c>
      <c r="E371" s="19">
        <v>0.25252524999999998</v>
      </c>
      <c r="F371" s="19" t="s">
        <v>160</v>
      </c>
      <c r="G371" s="19" t="s">
        <v>161</v>
      </c>
    </row>
    <row r="372" spans="2:7" x14ac:dyDescent="0.25">
      <c r="B372" s="19" t="s">
        <v>170</v>
      </c>
      <c r="C372" s="19">
        <f>K150</f>
        <v>160.29999999999998</v>
      </c>
      <c r="D372" s="19" t="s">
        <v>120</v>
      </c>
      <c r="E372" s="19">
        <v>0.34310667</v>
      </c>
      <c r="F372" s="19" t="s">
        <v>160</v>
      </c>
      <c r="G372" s="19" t="s">
        <v>171</v>
      </c>
    </row>
    <row r="373" spans="2:7" x14ac:dyDescent="0.25">
      <c r="B373" s="19" t="s">
        <v>172</v>
      </c>
      <c r="C373" s="19">
        <f>K166</f>
        <v>199.3</v>
      </c>
      <c r="D373" s="19" t="s">
        <v>121</v>
      </c>
      <c r="E373" s="19">
        <v>0.30607125000000002</v>
      </c>
      <c r="F373" s="19" t="s">
        <v>160</v>
      </c>
      <c r="G373" s="19" t="s">
        <v>171</v>
      </c>
    </row>
    <row r="374" spans="2:7" x14ac:dyDescent="0.25">
      <c r="B374" s="19" t="s">
        <v>173</v>
      </c>
      <c r="C374" s="19">
        <f>K182</f>
        <v>199.3</v>
      </c>
      <c r="D374" s="19" t="s">
        <v>121</v>
      </c>
      <c r="E374" s="19">
        <v>0.30607125000000002</v>
      </c>
      <c r="F374" s="19" t="s">
        <v>160</v>
      </c>
      <c r="G374" s="19" t="s">
        <v>174</v>
      </c>
    </row>
    <row r="375" spans="2:7" x14ac:dyDescent="0.25">
      <c r="B375" s="19" t="s">
        <v>175</v>
      </c>
      <c r="C375" s="19">
        <f>K198</f>
        <v>199.3</v>
      </c>
      <c r="D375" s="19" t="s">
        <v>121</v>
      </c>
      <c r="E375" s="19">
        <v>0.30607125000000002</v>
      </c>
      <c r="F375" s="19" t="s">
        <v>160</v>
      </c>
      <c r="G375" s="19" t="s">
        <v>174</v>
      </c>
    </row>
    <row r="376" spans="2:7" x14ac:dyDescent="0.25">
      <c r="B376" s="19" t="s">
        <v>176</v>
      </c>
      <c r="C376" s="19">
        <f>K214</f>
        <v>160.29999999999998</v>
      </c>
      <c r="D376" s="19" t="s">
        <v>120</v>
      </c>
      <c r="E376" s="19">
        <v>0.34310667</v>
      </c>
      <c r="F376" s="19" t="s">
        <v>160</v>
      </c>
      <c r="G376" s="19" t="s">
        <v>174</v>
      </c>
    </row>
    <row r="377" spans="2:7" x14ac:dyDescent="0.25">
      <c r="B377" s="19" t="s">
        <v>177</v>
      </c>
      <c r="C377" s="19">
        <f>K230</f>
        <v>160.29999999999998</v>
      </c>
      <c r="D377" s="19" t="s">
        <v>120</v>
      </c>
      <c r="E377" s="19">
        <v>0.34310667</v>
      </c>
      <c r="F377" s="19" t="s">
        <v>160</v>
      </c>
      <c r="G377" s="19" t="s">
        <v>174</v>
      </c>
    </row>
    <row r="378" spans="2:7" x14ac:dyDescent="0.25">
      <c r="B378" s="19" t="s">
        <v>178</v>
      </c>
      <c r="C378" s="19">
        <f>K246</f>
        <v>160.29999999999998</v>
      </c>
      <c r="D378" s="19" t="s">
        <v>120</v>
      </c>
      <c r="E378" s="19">
        <v>0.34310667</v>
      </c>
      <c r="F378" s="19" t="s">
        <v>160</v>
      </c>
      <c r="G378" s="19" t="s">
        <v>174</v>
      </c>
    </row>
    <row r="379" spans="2:7" x14ac:dyDescent="0.25">
      <c r="B379" s="19" t="s">
        <v>179</v>
      </c>
      <c r="C379" s="19">
        <f>K262</f>
        <v>160.29999999999998</v>
      </c>
      <c r="D379" s="19" t="s">
        <v>120</v>
      </c>
      <c r="E379" s="19">
        <v>0.34310667</v>
      </c>
      <c r="F379" s="19" t="s">
        <v>160</v>
      </c>
      <c r="G379" s="19" t="s">
        <v>174</v>
      </c>
    </row>
    <row r="380" spans="2:7" x14ac:dyDescent="0.25">
      <c r="B380" s="19" t="s">
        <v>180</v>
      </c>
      <c r="C380" s="19">
        <f>K278</f>
        <v>160.29999999999998</v>
      </c>
      <c r="D380" s="19" t="s">
        <v>120</v>
      </c>
      <c r="E380" s="19">
        <v>0.34310667</v>
      </c>
      <c r="F380" s="19" t="s">
        <v>160</v>
      </c>
      <c r="G380" s="19" t="s">
        <v>174</v>
      </c>
    </row>
    <row r="381" spans="2:7" x14ac:dyDescent="0.25">
      <c r="B381" s="19" t="s">
        <v>181</v>
      </c>
      <c r="C381" s="19">
        <f>K294</f>
        <v>199.3</v>
      </c>
      <c r="D381" s="19" t="s">
        <v>121</v>
      </c>
      <c r="E381" s="19">
        <v>0.30607125000000002</v>
      </c>
      <c r="F381" s="19" t="s">
        <v>160</v>
      </c>
      <c r="G381" s="19" t="s">
        <v>174</v>
      </c>
    </row>
    <row r="382" spans="2:7" x14ac:dyDescent="0.25">
      <c r="B382" s="19" t="s">
        <v>182</v>
      </c>
      <c r="C382" s="19">
        <f>K310</f>
        <v>158.39999999999998</v>
      </c>
      <c r="D382" s="19" t="s">
        <v>124</v>
      </c>
      <c r="E382" s="19">
        <v>0.25252524999999998</v>
      </c>
      <c r="F382" s="19" t="s">
        <v>160</v>
      </c>
      <c r="G382" s="19" t="s">
        <v>183</v>
      </c>
    </row>
    <row r="383" spans="2:7" x14ac:dyDescent="0.25">
      <c r="B383" s="19" t="s">
        <v>184</v>
      </c>
      <c r="C383" s="19">
        <f>K326</f>
        <v>199.3</v>
      </c>
      <c r="D383" s="19" t="s">
        <v>121</v>
      </c>
      <c r="E383" s="19">
        <v>0.30607125000000002</v>
      </c>
      <c r="F383" s="19" t="s">
        <v>185</v>
      </c>
      <c r="G383" s="19" t="s">
        <v>174</v>
      </c>
    </row>
    <row r="384" spans="2:7" x14ac:dyDescent="0.25">
      <c r="B384" s="19" t="s">
        <v>186</v>
      </c>
      <c r="C384" s="19">
        <f>K342</f>
        <v>199.3</v>
      </c>
      <c r="D384" s="19" t="s">
        <v>121</v>
      </c>
      <c r="E384" s="19">
        <v>0.30607125000000002</v>
      </c>
      <c r="F384" s="19" t="s">
        <v>185</v>
      </c>
      <c r="G384" s="19" t="s">
        <v>163</v>
      </c>
    </row>
    <row r="385" spans="2:7" x14ac:dyDescent="0.25">
      <c r="B385" s="19" t="s">
        <v>187</v>
      </c>
      <c r="C385" s="19">
        <f>K358</f>
        <v>199.3</v>
      </c>
      <c r="D385" s="19" t="s">
        <v>121</v>
      </c>
      <c r="E385" s="19">
        <v>0.30607125000000002</v>
      </c>
      <c r="F385" s="19" t="s">
        <v>188</v>
      </c>
      <c r="G385" s="19" t="s">
        <v>171</v>
      </c>
    </row>
  </sheetData>
  <mergeCells count="98">
    <mergeCell ref="A358:J358"/>
    <mergeCell ref="A297:A298"/>
    <mergeCell ref="A2:B2"/>
    <mergeCell ref="A57:A58"/>
    <mergeCell ref="C2:D2"/>
    <mergeCell ref="A43:L43"/>
    <mergeCell ref="A265:A266"/>
    <mergeCell ref="A121:A122"/>
    <mergeCell ref="B137:D138"/>
    <mergeCell ref="A329:A330"/>
    <mergeCell ref="A9:A10"/>
    <mergeCell ref="A11:L11"/>
    <mergeCell ref="A214:J214"/>
    <mergeCell ref="A123:L123"/>
    <mergeCell ref="A294:J294"/>
    <mergeCell ref="B329:D330"/>
    <mergeCell ref="A345:A346"/>
    <mergeCell ref="A310:J310"/>
    <mergeCell ref="A166:J166"/>
    <mergeCell ref="A219:L219"/>
    <mergeCell ref="A89:A90"/>
    <mergeCell ref="B345:D346"/>
    <mergeCell ref="A313:A314"/>
    <mergeCell ref="A278:J278"/>
    <mergeCell ref="A342:J342"/>
    <mergeCell ref="A38:J38"/>
    <mergeCell ref="A27:L27"/>
    <mergeCell ref="B169:D170"/>
    <mergeCell ref="A281:A282"/>
    <mergeCell ref="A267:L267"/>
    <mergeCell ref="A102:J102"/>
    <mergeCell ref="A230:J230"/>
    <mergeCell ref="B41:D42"/>
    <mergeCell ref="A251:L251"/>
    <mergeCell ref="B153:D154"/>
    <mergeCell ref="A235:L235"/>
    <mergeCell ref="A331:L331"/>
    <mergeCell ref="A73:A74"/>
    <mergeCell ref="A86:J86"/>
    <mergeCell ref="A347:L347"/>
    <mergeCell ref="B249:D250"/>
    <mergeCell ref="A59:L59"/>
    <mergeCell ref="A4:B4"/>
    <mergeCell ref="A118:J118"/>
    <mergeCell ref="A246:J246"/>
    <mergeCell ref="A198:J198"/>
    <mergeCell ref="A326:J326"/>
    <mergeCell ref="A107:L107"/>
    <mergeCell ref="B313:D314"/>
    <mergeCell ref="A201:A202"/>
    <mergeCell ref="A315:L315"/>
    <mergeCell ref="B217:D218"/>
    <mergeCell ref="B265:D266"/>
    <mergeCell ref="B185:D186"/>
    <mergeCell ref="A153:A154"/>
    <mergeCell ref="A299:L299"/>
    <mergeCell ref="A155:L155"/>
    <mergeCell ref="B57:D58"/>
    <mergeCell ref="A5:B5"/>
    <mergeCell ref="A249:A250"/>
    <mergeCell ref="A54:J54"/>
    <mergeCell ref="A283:L283"/>
    <mergeCell ref="C5:D5"/>
    <mergeCell ref="A75:L75"/>
    <mergeCell ref="A6:B6"/>
    <mergeCell ref="B25:D26"/>
    <mergeCell ref="A25:A26"/>
    <mergeCell ref="B9:D10"/>
    <mergeCell ref="A3:B3"/>
    <mergeCell ref="A91:L91"/>
    <mergeCell ref="B121:D122"/>
    <mergeCell ref="A185:A186"/>
    <mergeCell ref="B297:D298"/>
    <mergeCell ref="A171:L171"/>
    <mergeCell ref="B73:D74"/>
    <mergeCell ref="B105:D106"/>
    <mergeCell ref="A70:J70"/>
    <mergeCell ref="C3:D3"/>
    <mergeCell ref="C4:D4"/>
    <mergeCell ref="A262:J262"/>
    <mergeCell ref="A169:A170"/>
    <mergeCell ref="B281:D282"/>
    <mergeCell ref="A41:A42"/>
    <mergeCell ref="A105:A106"/>
    <mergeCell ref="A134:J134"/>
    <mergeCell ref="A233:A234"/>
    <mergeCell ref="A139:L139"/>
    <mergeCell ref="B233:D234"/>
    <mergeCell ref="A217:A218"/>
    <mergeCell ref="A203:L203"/>
    <mergeCell ref="A182:J182"/>
    <mergeCell ref="B201:D202"/>
    <mergeCell ref="A187:L187"/>
    <mergeCell ref="B89:D90"/>
    <mergeCell ref="C6:D6"/>
    <mergeCell ref="A137:A138"/>
    <mergeCell ref="A22:J22"/>
    <mergeCell ref="A150:J150"/>
  </mergeCells>
  <pageMargins left="0.7" right="0.7" top="0.75" bottom="0.75" header="0.3" footer="0.3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showGridLines="0" workbookViewId="0">
      <selection activeCell="M8" sqref="M8"/>
    </sheetView>
  </sheetViews>
  <sheetFormatPr baseColWidth="10" defaultColWidth="9.140625" defaultRowHeight="15" x14ac:dyDescent="0.25"/>
  <cols>
    <col min="1" max="1" width="26" customWidth="1"/>
    <col min="2" max="4" width="13" customWidth="1"/>
    <col min="5" max="5" width="3" customWidth="1"/>
    <col min="6" max="20" width="11" customWidth="1"/>
  </cols>
  <sheetData>
    <row r="1" spans="1:2" ht="21" x14ac:dyDescent="0.35">
      <c r="A1" s="82" t="s">
        <v>189</v>
      </c>
    </row>
    <row r="2" spans="1:2" x14ac:dyDescent="0.25">
      <c r="A2" s="83" t="s">
        <v>190</v>
      </c>
    </row>
    <row r="3" spans="1:2" x14ac:dyDescent="0.25">
      <c r="A3" s="84" t="s">
        <v>191</v>
      </c>
    </row>
    <row r="6" spans="1:2" ht="17.25" x14ac:dyDescent="0.3">
      <c r="A6" s="85" t="s">
        <v>192</v>
      </c>
    </row>
    <row r="7" spans="1:2" x14ac:dyDescent="0.25">
      <c r="A7" s="86" t="s">
        <v>193</v>
      </c>
    </row>
    <row r="9" spans="1:2" x14ac:dyDescent="0.25">
      <c r="A9" s="87" t="s">
        <v>194</v>
      </c>
      <c r="B9" s="87" t="s">
        <v>195</v>
      </c>
    </row>
    <row r="10" spans="1:2" x14ac:dyDescent="0.25">
      <c r="A10" s="88" t="s">
        <v>120</v>
      </c>
      <c r="B10" s="89">
        <f>COUNTIF(EVA!$D$364:$D$385,A10)</f>
        <v>11</v>
      </c>
    </row>
    <row r="11" spans="1:2" x14ac:dyDescent="0.25">
      <c r="A11" s="88" t="s">
        <v>124</v>
      </c>
      <c r="B11" s="89">
        <f>COUNTIF(EVA!$D$364:$D$385,A11)</f>
        <v>4</v>
      </c>
    </row>
    <row r="12" spans="1:2" x14ac:dyDescent="0.25">
      <c r="A12" s="88" t="s">
        <v>121</v>
      </c>
      <c r="B12" s="89">
        <f>COUNTIF(EVA!$D$364:$D$385,A12)</f>
        <v>7</v>
      </c>
    </row>
    <row r="16" spans="1:2" ht="17.25" x14ac:dyDescent="0.3">
      <c r="A16" s="85" t="s">
        <v>196</v>
      </c>
    </row>
    <row r="17" spans="1:2" x14ac:dyDescent="0.25">
      <c r="A17" s="86" t="s">
        <v>197</v>
      </c>
    </row>
    <row r="19" spans="1:2" x14ac:dyDescent="0.25">
      <c r="A19" s="87" t="s">
        <v>198</v>
      </c>
      <c r="B19" s="87" t="s">
        <v>195</v>
      </c>
    </row>
    <row r="20" spans="1:2" x14ac:dyDescent="0.25">
      <c r="A20" s="88" t="s">
        <v>160</v>
      </c>
      <c r="B20" s="89">
        <f>COUNTIF(EVA!$F$364:$F$385,A20)</f>
        <v>19</v>
      </c>
    </row>
    <row r="21" spans="1:2" x14ac:dyDescent="0.25">
      <c r="A21" s="88" t="s">
        <v>185</v>
      </c>
      <c r="B21" s="89">
        <f>COUNTIF(EVA!$F$364:$F$385,A21)</f>
        <v>2</v>
      </c>
    </row>
    <row r="22" spans="1:2" x14ac:dyDescent="0.25">
      <c r="A22" s="88" t="s">
        <v>188</v>
      </c>
      <c r="B22" s="89">
        <f>COUNTIF(EVA!$F$364:$F$385,A22)</f>
        <v>1</v>
      </c>
    </row>
    <row r="26" spans="1:2" ht="17.25" x14ac:dyDescent="0.3">
      <c r="A26" s="85" t="s">
        <v>199</v>
      </c>
    </row>
    <row r="27" spans="1:2" x14ac:dyDescent="0.25">
      <c r="A27" s="86" t="s">
        <v>200</v>
      </c>
    </row>
    <row r="29" spans="1:2" x14ac:dyDescent="0.25">
      <c r="A29" s="87" t="s">
        <v>201</v>
      </c>
      <c r="B29" s="87" t="s">
        <v>195</v>
      </c>
    </row>
    <row r="30" spans="1:2" x14ac:dyDescent="0.25">
      <c r="A30" s="88" t="s">
        <v>163</v>
      </c>
      <c r="B30" s="89">
        <f>COUNTIF(EVA!$G$364:$G$385,A30)</f>
        <v>6</v>
      </c>
    </row>
    <row r="31" spans="1:2" x14ac:dyDescent="0.25">
      <c r="A31" s="88" t="s">
        <v>174</v>
      </c>
      <c r="B31" s="89">
        <f>COUNTIF(EVA!$G$364:$G$385,A31)</f>
        <v>9</v>
      </c>
    </row>
    <row r="32" spans="1:2" x14ac:dyDescent="0.25">
      <c r="A32" s="88" t="s">
        <v>161</v>
      </c>
      <c r="B32" s="89">
        <f>COUNTIF(EVA!$G$364:$G$385,A32)</f>
        <v>3</v>
      </c>
    </row>
    <row r="33" spans="1:3" x14ac:dyDescent="0.25">
      <c r="A33" s="88" t="s">
        <v>171</v>
      </c>
      <c r="B33" s="89">
        <f>COUNTIF(EVA!$G$364:$G$385,A33)</f>
        <v>3</v>
      </c>
    </row>
    <row r="34" spans="1:3" x14ac:dyDescent="0.25">
      <c r="A34" s="88" t="s">
        <v>183</v>
      </c>
      <c r="B34" s="89">
        <f>COUNTIF(EVA!$G$364:$G$385,A34)</f>
        <v>1</v>
      </c>
    </row>
    <row r="38" spans="1:3" ht="17.25" x14ac:dyDescent="0.3">
      <c r="A38" s="85" t="s">
        <v>202</v>
      </c>
    </row>
    <row r="39" spans="1:3" x14ac:dyDescent="0.25">
      <c r="A39" s="86" t="s">
        <v>203</v>
      </c>
    </row>
    <row r="41" spans="1:3" x14ac:dyDescent="0.25">
      <c r="A41" s="87" t="s">
        <v>195</v>
      </c>
      <c r="B41" s="87" t="s">
        <v>204</v>
      </c>
      <c r="C41" s="87" t="s">
        <v>194</v>
      </c>
    </row>
    <row r="42" spans="1:3" x14ac:dyDescent="0.25">
      <c r="A42" s="88" t="str">
        <f>EVA!$B$364</f>
        <v>RF01</v>
      </c>
      <c r="B42" s="90">
        <f>EVA!$E$364</f>
        <v>0.34310667</v>
      </c>
      <c r="C42" s="89" t="str">
        <f>EVA!$D$364</f>
        <v>Necesario</v>
      </c>
    </row>
    <row r="43" spans="1:3" x14ac:dyDescent="0.25">
      <c r="A43" s="88" t="str">
        <f>EVA!$B$365</f>
        <v>RF02</v>
      </c>
      <c r="B43" s="90">
        <f>EVA!$E$365</f>
        <v>0.34310667</v>
      </c>
      <c r="C43" s="89" t="str">
        <f>EVA!$D$365</f>
        <v>Necesario</v>
      </c>
    </row>
    <row r="44" spans="1:3" x14ac:dyDescent="0.25">
      <c r="A44" s="88" t="str">
        <f>EVA!$B$366</f>
        <v>RF03</v>
      </c>
      <c r="B44" s="90">
        <f>EVA!$E$366</f>
        <v>0.34310667</v>
      </c>
      <c r="C44" s="89" t="str">
        <f>EVA!$D$366</f>
        <v>Necesario</v>
      </c>
    </row>
    <row r="45" spans="1:3" x14ac:dyDescent="0.25">
      <c r="A45" s="88" t="str">
        <f>EVA!$B$367</f>
        <v>RF04</v>
      </c>
      <c r="B45" s="90">
        <f>EVA!$E$367</f>
        <v>0.34310667</v>
      </c>
      <c r="C45" s="89" t="str">
        <f>EVA!$D$367</f>
        <v>Necesario</v>
      </c>
    </row>
    <row r="46" spans="1:3" x14ac:dyDescent="0.25">
      <c r="A46" s="88" t="str">
        <f>EVA!$B$368</f>
        <v>RF05</v>
      </c>
      <c r="B46" s="90">
        <f>EVA!$E$368</f>
        <v>0.34310667</v>
      </c>
      <c r="C46" s="89" t="str">
        <f>EVA!$D$368</f>
        <v>Necesario</v>
      </c>
    </row>
    <row r="47" spans="1:3" x14ac:dyDescent="0.25">
      <c r="A47" s="88" t="str">
        <f>EVA!$B$369</f>
        <v>RF06</v>
      </c>
      <c r="B47" s="90">
        <f>EVA!$E$369</f>
        <v>0.25252524999999998</v>
      </c>
      <c r="C47" s="89" t="str">
        <f>EVA!$D$369</f>
        <v>No ambiguo</v>
      </c>
    </row>
    <row r="48" spans="1:3" x14ac:dyDescent="0.25">
      <c r="A48" s="88" t="str">
        <f>EVA!$B$370</f>
        <v>RF07</v>
      </c>
      <c r="B48" s="90">
        <f>EVA!$E$370</f>
        <v>0.25252524999999998</v>
      </c>
      <c r="C48" s="89" t="str">
        <f>EVA!$D$370</f>
        <v>No ambiguo</v>
      </c>
    </row>
    <row r="49" spans="1:3" x14ac:dyDescent="0.25">
      <c r="A49" s="88" t="str">
        <f>EVA!$B$371</f>
        <v>RF08</v>
      </c>
      <c r="B49" s="90">
        <f>EVA!$E$371</f>
        <v>0.25252524999999998</v>
      </c>
      <c r="C49" s="89" t="str">
        <f>EVA!$D$371</f>
        <v>No ambiguo</v>
      </c>
    </row>
    <row r="50" spans="1:3" x14ac:dyDescent="0.25">
      <c r="A50" s="88" t="str">
        <f>EVA!$B$372</f>
        <v>RF09</v>
      </c>
      <c r="B50" s="90">
        <f>EVA!$E$372</f>
        <v>0.34310667</v>
      </c>
      <c r="C50" s="89" t="str">
        <f>EVA!$D$372</f>
        <v>Necesario</v>
      </c>
    </row>
    <row r="51" spans="1:3" x14ac:dyDescent="0.25">
      <c r="A51" s="88" t="str">
        <f>EVA!$B$373</f>
        <v>RF10</v>
      </c>
      <c r="B51" s="90">
        <f>EVA!$E$373</f>
        <v>0.30607125000000002</v>
      </c>
      <c r="C51" s="89" t="str">
        <f>EVA!$D$373</f>
        <v>Completo</v>
      </c>
    </row>
    <row r="52" spans="1:3" x14ac:dyDescent="0.25">
      <c r="A52" s="88" t="str">
        <f>EVA!$B$374</f>
        <v>RF11</v>
      </c>
      <c r="B52" s="90">
        <f>EVA!$E$374</f>
        <v>0.30607125000000002</v>
      </c>
      <c r="C52" s="89" t="str">
        <f>EVA!$D$374</f>
        <v>Completo</v>
      </c>
    </row>
    <row r="53" spans="1:3" x14ac:dyDescent="0.25">
      <c r="A53" s="88" t="str">
        <f>EVA!$B$375</f>
        <v>RF12</v>
      </c>
      <c r="B53" s="90">
        <f>EVA!$E$375</f>
        <v>0.30607125000000002</v>
      </c>
      <c r="C53" s="89" t="str">
        <f>EVA!$D$375</f>
        <v>Completo</v>
      </c>
    </row>
    <row r="54" spans="1:3" x14ac:dyDescent="0.25">
      <c r="A54" s="88" t="str">
        <f>EVA!$B$376</f>
        <v>RF13</v>
      </c>
      <c r="B54" s="90">
        <f>EVA!$E$376</f>
        <v>0.34310667</v>
      </c>
      <c r="C54" s="89" t="str">
        <f>EVA!$D$376</f>
        <v>Necesario</v>
      </c>
    </row>
    <row r="55" spans="1:3" x14ac:dyDescent="0.25">
      <c r="A55" s="88" t="str">
        <f>EVA!$B$377</f>
        <v>RF14</v>
      </c>
      <c r="B55" s="90">
        <f>EVA!$E$377</f>
        <v>0.34310667</v>
      </c>
      <c r="C55" s="89" t="str">
        <f>EVA!$D$377</f>
        <v>Necesario</v>
      </c>
    </row>
    <row r="56" spans="1:3" x14ac:dyDescent="0.25">
      <c r="A56" s="88" t="str">
        <f>EVA!$B$378</f>
        <v>RF15</v>
      </c>
      <c r="B56" s="90">
        <f>EVA!$E$378</f>
        <v>0.34310667</v>
      </c>
      <c r="C56" s="89" t="str">
        <f>EVA!$D$378</f>
        <v>Necesario</v>
      </c>
    </row>
    <row r="57" spans="1:3" x14ac:dyDescent="0.25">
      <c r="A57" s="88" t="str">
        <f>EVA!$B$379</f>
        <v>RF16</v>
      </c>
      <c r="B57" s="90">
        <f>EVA!$E$379</f>
        <v>0.34310667</v>
      </c>
      <c r="C57" s="89" t="str">
        <f>EVA!$D$379</f>
        <v>Necesario</v>
      </c>
    </row>
    <row r="58" spans="1:3" x14ac:dyDescent="0.25">
      <c r="A58" s="88" t="str">
        <f>EVA!$B$380</f>
        <v>RF17</v>
      </c>
      <c r="B58" s="90">
        <f>EVA!$E$380</f>
        <v>0.34310667</v>
      </c>
      <c r="C58" s="89" t="str">
        <f>EVA!$D$380</f>
        <v>Necesario</v>
      </c>
    </row>
    <row r="59" spans="1:3" x14ac:dyDescent="0.25">
      <c r="A59" s="88" t="str">
        <f>EVA!$B$381</f>
        <v>RF18</v>
      </c>
      <c r="B59" s="90">
        <f>EVA!$E$381</f>
        <v>0.30607125000000002</v>
      </c>
      <c r="C59" s="89" t="str">
        <f>EVA!$D$381</f>
        <v>Completo</v>
      </c>
    </row>
    <row r="60" spans="1:3" x14ac:dyDescent="0.25">
      <c r="A60" s="88" t="str">
        <f>EVA!$B$382</f>
        <v>RF19</v>
      </c>
      <c r="B60" s="90">
        <f>EVA!$E$382</f>
        <v>0.25252524999999998</v>
      </c>
      <c r="C60" s="89" t="str">
        <f>EVA!$D$382</f>
        <v>No ambiguo</v>
      </c>
    </row>
    <row r="61" spans="1:3" x14ac:dyDescent="0.25">
      <c r="A61" s="88" t="str">
        <f>EVA!$B$383</f>
        <v>RF20</v>
      </c>
      <c r="B61" s="90">
        <f>EVA!$E$383</f>
        <v>0.30607125000000002</v>
      </c>
      <c r="C61" s="89" t="str">
        <f>EVA!$D$383</f>
        <v>Completo</v>
      </c>
    </row>
    <row r="62" spans="1:3" x14ac:dyDescent="0.25">
      <c r="A62" s="88" t="str">
        <f>EVA!$B$384</f>
        <v>RF21</v>
      </c>
      <c r="B62" s="90">
        <f>EVA!$E$384</f>
        <v>0.30607125000000002</v>
      </c>
      <c r="C62" s="89" t="str">
        <f>EVA!$D$384</f>
        <v>Completo</v>
      </c>
    </row>
    <row r="63" spans="1:3" x14ac:dyDescent="0.25">
      <c r="A63" s="88" t="str">
        <f>EVA!$B$385</f>
        <v>RF22</v>
      </c>
      <c r="B63" s="90">
        <f>EVA!$E$385</f>
        <v>0.30607125000000002</v>
      </c>
      <c r="C63" s="89" t="str">
        <f>EVA!$D$385</f>
        <v>Completo</v>
      </c>
    </row>
    <row r="66" spans="1:4" ht="17.25" x14ac:dyDescent="0.3">
      <c r="A66" s="85" t="s">
        <v>205</v>
      </c>
    </row>
    <row r="67" spans="1:4" x14ac:dyDescent="0.25">
      <c r="A67" s="86" t="s">
        <v>206</v>
      </c>
    </row>
    <row r="69" spans="1:4" x14ac:dyDescent="0.25">
      <c r="A69" s="87" t="s">
        <v>207</v>
      </c>
      <c r="B69" s="87" t="s">
        <v>208</v>
      </c>
      <c r="C69" s="87" t="s">
        <v>209</v>
      </c>
      <c r="D69" s="87" t="s">
        <v>210</v>
      </c>
    </row>
    <row r="70" spans="1:4" x14ac:dyDescent="0.25">
      <c r="A70" s="88" t="s">
        <v>120</v>
      </c>
      <c r="B70" s="90">
        <v>0.343107</v>
      </c>
      <c r="C70" s="90">
        <v>0.116162</v>
      </c>
      <c r="D70" s="90">
        <v>1.9067000000000001E-2</v>
      </c>
    </row>
    <row r="71" spans="1:4" x14ac:dyDescent="0.25">
      <c r="A71" s="88" t="s">
        <v>121</v>
      </c>
      <c r="B71" s="90">
        <v>0.11977500000000001</v>
      </c>
      <c r="C71" s="90">
        <v>0.116162</v>
      </c>
      <c r="D71" s="90">
        <v>0.30607099999999998</v>
      </c>
    </row>
    <row r="72" spans="1:4" x14ac:dyDescent="0.25">
      <c r="A72" s="88" t="s">
        <v>122</v>
      </c>
      <c r="B72" s="90">
        <v>0.11977500000000001</v>
      </c>
      <c r="C72" s="90">
        <v>0.116162</v>
      </c>
      <c r="D72" s="90">
        <v>0.11239300000000001</v>
      </c>
    </row>
    <row r="73" spans="1:4" x14ac:dyDescent="0.25">
      <c r="A73" s="88" t="s">
        <v>123</v>
      </c>
      <c r="B73" s="90">
        <v>1.9338999999999999E-2</v>
      </c>
      <c r="C73" s="90">
        <v>2.0202000000000001E-2</v>
      </c>
      <c r="D73" s="90">
        <v>1.9067000000000001E-2</v>
      </c>
    </row>
    <row r="74" spans="1:4" x14ac:dyDescent="0.25">
      <c r="A74" s="88" t="s">
        <v>124</v>
      </c>
      <c r="B74" s="90">
        <v>0.11977500000000001</v>
      </c>
      <c r="C74" s="90">
        <v>0.252525</v>
      </c>
      <c r="D74" s="90">
        <v>0.11239300000000001</v>
      </c>
    </row>
    <row r="75" spans="1:4" x14ac:dyDescent="0.25">
      <c r="A75" s="88" t="s">
        <v>125</v>
      </c>
      <c r="B75" s="90">
        <v>0.11977500000000001</v>
      </c>
      <c r="C75" s="90">
        <v>0.116162</v>
      </c>
      <c r="D75" s="90">
        <v>0.28098299999999998</v>
      </c>
    </row>
    <row r="76" spans="1:4" x14ac:dyDescent="0.25">
      <c r="A76" s="88" t="s">
        <v>126</v>
      </c>
      <c r="B76" s="90">
        <v>0.11977500000000001</v>
      </c>
      <c r="C76" s="90">
        <v>0.222222</v>
      </c>
      <c r="D76" s="90">
        <v>0.11189200000000001</v>
      </c>
    </row>
    <row r="77" spans="1:4" x14ac:dyDescent="0.25">
      <c r="A77" s="88" t="s">
        <v>127</v>
      </c>
      <c r="B77" s="90">
        <v>1.9338999999999999E-2</v>
      </c>
      <c r="C77" s="90">
        <v>2.0202000000000001E-2</v>
      </c>
      <c r="D77" s="90">
        <v>1.9067000000000001E-2</v>
      </c>
    </row>
    <row r="78" spans="1:4" x14ac:dyDescent="0.25">
      <c r="A78" s="88" t="s">
        <v>128</v>
      </c>
      <c r="B78" s="90">
        <v>1.9338999999999999E-2</v>
      </c>
      <c r="C78" s="90">
        <v>2.0202000000000001E-2</v>
      </c>
      <c r="D78" s="90">
        <v>1.9067000000000001E-2</v>
      </c>
    </row>
    <row r="94" spans="1:1" ht="17.25" x14ac:dyDescent="0.3">
      <c r="A94" s="85" t="s">
        <v>211</v>
      </c>
    </row>
    <row r="95" spans="1:1" x14ac:dyDescent="0.25">
      <c r="A95" s="86" t="s">
        <v>212</v>
      </c>
    </row>
    <row r="97" spans="1:3" x14ac:dyDescent="0.25">
      <c r="A97" s="87" t="s">
        <v>213</v>
      </c>
      <c r="B97" s="87" t="s">
        <v>214</v>
      </c>
      <c r="C97" s="87" t="s">
        <v>215</v>
      </c>
    </row>
    <row r="98" spans="1:3" x14ac:dyDescent="0.25">
      <c r="A98" s="88" t="s">
        <v>216</v>
      </c>
      <c r="B98" s="89">
        <f>'RES-RF-RNF'!$B$38</f>
        <v>22</v>
      </c>
      <c r="C98" s="89">
        <f>'RES-RF-RNF'!$C$38</f>
        <v>22</v>
      </c>
    </row>
    <row r="99" spans="1:3" x14ac:dyDescent="0.25">
      <c r="A99" s="88" t="s">
        <v>217</v>
      </c>
      <c r="B99" s="89">
        <f>'RES-RF-RNF'!$D$38</f>
        <v>14</v>
      </c>
      <c r="C99" s="89">
        <f>'RES-RF-RNF'!$E$38</f>
        <v>14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97"/>
  <sheetViews>
    <sheetView topLeftCell="A68" zoomScale="85" zoomScaleNormal="85" workbookViewId="0">
      <selection activeCell="T85" sqref="T85"/>
    </sheetView>
  </sheetViews>
  <sheetFormatPr baseColWidth="10" defaultRowHeight="15" x14ac:dyDescent="0.25"/>
  <cols>
    <col min="1" max="1" width="45.42578125" customWidth="1"/>
    <col min="2" max="2" width="45.7109375" customWidth="1"/>
    <col min="3" max="3" width="31.5703125" customWidth="1"/>
  </cols>
  <sheetData>
    <row r="2" spans="1:3" ht="15.75" customHeight="1" thickBot="1" x14ac:dyDescent="0.3">
      <c r="A2" s="110" t="s">
        <v>0</v>
      </c>
      <c r="B2" s="111"/>
      <c r="C2" s="111"/>
    </row>
    <row r="3" spans="1:3" ht="21" customHeight="1" thickBot="1" x14ac:dyDescent="0.3">
      <c r="A3" s="3" t="s">
        <v>1</v>
      </c>
      <c r="B3" s="77" t="s">
        <v>2</v>
      </c>
    </row>
    <row r="4" spans="1:3" ht="24.75" customHeight="1" thickBot="1" x14ac:dyDescent="0.3">
      <c r="A4" s="4" t="s">
        <v>3</v>
      </c>
      <c r="B4" s="5" t="s">
        <v>4</v>
      </c>
    </row>
    <row r="5" spans="1:3" ht="25.5" customHeight="1" thickBot="1" x14ac:dyDescent="0.3">
      <c r="A5" s="114" t="s">
        <v>5</v>
      </c>
      <c r="B5" s="97"/>
    </row>
    <row r="6" spans="1:3" ht="189.95" customHeight="1" x14ac:dyDescent="0.25">
      <c r="A6" s="115" t="s">
        <v>6</v>
      </c>
      <c r="B6" s="99"/>
    </row>
    <row r="7" spans="1:3" ht="18.75" customHeight="1" x14ac:dyDescent="0.25">
      <c r="A7" s="100"/>
      <c r="B7" s="101"/>
    </row>
    <row r="8" spans="1:3" ht="15.75" customHeight="1" thickBot="1" x14ac:dyDescent="0.3">
      <c r="A8" s="102"/>
      <c r="B8" s="103"/>
    </row>
    <row r="9" spans="1:3" ht="44.25" customHeight="1" thickBot="1" x14ac:dyDescent="0.3">
      <c r="A9" s="119" t="s">
        <v>7</v>
      </c>
      <c r="B9" s="97"/>
    </row>
    <row r="10" spans="1:3" ht="150" customHeight="1" x14ac:dyDescent="0.25">
      <c r="A10" s="98" t="s">
        <v>8</v>
      </c>
      <c r="B10" s="99"/>
    </row>
    <row r="11" spans="1:3" ht="19.5" customHeight="1" x14ac:dyDescent="0.25">
      <c r="A11" s="100"/>
      <c r="B11" s="101"/>
    </row>
    <row r="12" spans="1:3" ht="15.75" customHeight="1" thickBot="1" x14ac:dyDescent="0.3">
      <c r="A12" s="102"/>
      <c r="B12" s="103"/>
    </row>
    <row r="13" spans="1:3" ht="15.75" customHeight="1" thickBot="1" x14ac:dyDescent="0.3"/>
    <row r="14" spans="1:3" ht="30" customHeight="1" thickBot="1" x14ac:dyDescent="0.3">
      <c r="A14" s="112" t="s">
        <v>9</v>
      </c>
      <c r="B14" s="96"/>
      <c r="C14" s="97"/>
    </row>
    <row r="15" spans="1:3" ht="15.75" customHeight="1" thickBot="1" x14ac:dyDescent="0.3">
      <c r="A15" s="28" t="s">
        <v>10</v>
      </c>
      <c r="B15" s="29" t="s">
        <v>11</v>
      </c>
      <c r="C15" s="29" t="s">
        <v>12</v>
      </c>
    </row>
    <row r="16" spans="1:3" ht="110.1" customHeight="1" thickBot="1" x14ac:dyDescent="0.3">
      <c r="A16" s="30" t="s">
        <v>13</v>
      </c>
      <c r="B16" s="31" t="s">
        <v>14</v>
      </c>
      <c r="C16" s="31" t="s">
        <v>15</v>
      </c>
    </row>
    <row r="17" spans="1:3" ht="39" customHeight="1" thickBot="1" x14ac:dyDescent="0.3">
      <c r="A17" s="30" t="s">
        <v>16</v>
      </c>
      <c r="B17" s="31" t="s">
        <v>17</v>
      </c>
      <c r="C17" s="31" t="s">
        <v>18</v>
      </c>
    </row>
    <row r="18" spans="1:3" ht="30.75" customHeight="1" thickBot="1" x14ac:dyDescent="0.3">
      <c r="A18" s="30" t="s">
        <v>19</v>
      </c>
      <c r="B18" s="31" t="s">
        <v>20</v>
      </c>
      <c r="C18" s="47" t="s">
        <v>21</v>
      </c>
    </row>
    <row r="19" spans="1:3" ht="15.75" customHeight="1" thickBot="1" x14ac:dyDescent="0.3"/>
    <row r="20" spans="1:3" x14ac:dyDescent="0.25">
      <c r="A20" s="117" t="s">
        <v>22</v>
      </c>
      <c r="B20" s="118"/>
      <c r="C20" s="99"/>
    </row>
    <row r="21" spans="1:3" ht="30" customHeight="1" x14ac:dyDescent="0.25">
      <c r="A21" s="50" t="s">
        <v>23</v>
      </c>
      <c r="B21" s="48" t="s">
        <v>24</v>
      </c>
      <c r="C21" s="51" t="s">
        <v>25</v>
      </c>
    </row>
    <row r="22" spans="1:3" ht="30" customHeight="1" x14ac:dyDescent="0.25">
      <c r="A22" s="52" t="s">
        <v>26</v>
      </c>
      <c r="B22" s="49" t="s">
        <v>27</v>
      </c>
      <c r="C22" s="56" t="s">
        <v>28</v>
      </c>
    </row>
    <row r="23" spans="1:3" ht="30" customHeight="1" x14ac:dyDescent="0.25">
      <c r="A23" s="52" t="s">
        <v>29</v>
      </c>
      <c r="B23" s="49" t="s">
        <v>30</v>
      </c>
      <c r="C23" s="57" t="s">
        <v>31</v>
      </c>
    </row>
    <row r="24" spans="1:3" ht="30" customHeight="1" x14ac:dyDescent="0.25">
      <c r="A24" s="52" t="s">
        <v>32</v>
      </c>
      <c r="B24" s="49" t="s">
        <v>33</v>
      </c>
      <c r="C24" s="53" t="s">
        <v>34</v>
      </c>
    </row>
    <row r="25" spans="1:3" ht="150" customHeight="1" thickBot="1" x14ac:dyDescent="0.3">
      <c r="A25" s="54" t="s">
        <v>35</v>
      </c>
      <c r="B25" s="58" t="s">
        <v>36</v>
      </c>
      <c r="C25" s="55" t="s">
        <v>37</v>
      </c>
    </row>
    <row r="26" spans="1:3" ht="15.75" customHeight="1" thickBot="1" x14ac:dyDescent="0.3"/>
    <row r="27" spans="1:3" ht="15.75" customHeight="1" thickBot="1" x14ac:dyDescent="0.3">
      <c r="A27" s="95" t="s">
        <v>38</v>
      </c>
      <c r="B27" s="96"/>
      <c r="C27" s="97"/>
    </row>
    <row r="28" spans="1:3" ht="30" customHeight="1" x14ac:dyDescent="0.25">
      <c r="A28" s="50" t="s">
        <v>23</v>
      </c>
      <c r="B28" s="48" t="s">
        <v>24</v>
      </c>
      <c r="C28" s="51" t="s">
        <v>25</v>
      </c>
    </row>
    <row r="29" spans="1:3" ht="30" customHeight="1" x14ac:dyDescent="0.25">
      <c r="A29" s="52" t="s">
        <v>26</v>
      </c>
      <c r="B29" s="49" t="s">
        <v>39</v>
      </c>
      <c r="C29" s="56" t="s">
        <v>40</v>
      </c>
    </row>
    <row r="30" spans="1:3" ht="45" x14ac:dyDescent="0.25">
      <c r="A30" s="52" t="s">
        <v>29</v>
      </c>
      <c r="B30" s="49" t="s">
        <v>30</v>
      </c>
      <c r="C30" s="57" t="s">
        <v>41</v>
      </c>
    </row>
    <row r="31" spans="1:3" ht="30" customHeight="1" x14ac:dyDescent="0.25">
      <c r="A31" s="52" t="s">
        <v>32</v>
      </c>
      <c r="B31" s="49" t="s">
        <v>42</v>
      </c>
      <c r="C31" s="53" t="s">
        <v>43</v>
      </c>
    </row>
    <row r="32" spans="1:3" ht="110.1" customHeight="1" thickBot="1" x14ac:dyDescent="0.3">
      <c r="A32" s="54" t="s">
        <v>44</v>
      </c>
      <c r="B32" s="58" t="s">
        <v>36</v>
      </c>
      <c r="C32" s="55" t="s">
        <v>45</v>
      </c>
    </row>
    <row r="33" spans="1:3" ht="15.75" customHeight="1" thickBot="1" x14ac:dyDescent="0.3">
      <c r="A33" s="59"/>
      <c r="B33" s="60"/>
      <c r="C33" s="61"/>
    </row>
    <row r="34" spans="1:3" ht="15.75" customHeight="1" thickBot="1" x14ac:dyDescent="0.3">
      <c r="A34" s="95" t="s">
        <v>46</v>
      </c>
      <c r="B34" s="96"/>
      <c r="C34" s="97"/>
    </row>
    <row r="35" spans="1:3" ht="30" customHeight="1" x14ac:dyDescent="0.25">
      <c r="A35" s="50" t="s">
        <v>23</v>
      </c>
      <c r="B35" s="48" t="s">
        <v>24</v>
      </c>
      <c r="C35" s="51" t="s">
        <v>25</v>
      </c>
    </row>
    <row r="36" spans="1:3" ht="30" customHeight="1" x14ac:dyDescent="0.25">
      <c r="A36" s="52" t="s">
        <v>26</v>
      </c>
      <c r="B36" s="49" t="s">
        <v>47</v>
      </c>
      <c r="C36" s="56" t="s">
        <v>48</v>
      </c>
    </row>
    <row r="37" spans="1:3" ht="60" x14ac:dyDescent="0.25">
      <c r="A37" s="52" t="s">
        <v>29</v>
      </c>
      <c r="B37" s="49" t="s">
        <v>49</v>
      </c>
      <c r="C37" s="57" t="s">
        <v>50</v>
      </c>
    </row>
    <row r="38" spans="1:3" ht="60" x14ac:dyDescent="0.25">
      <c r="A38" s="52" t="s">
        <v>32</v>
      </c>
      <c r="B38" s="49" t="s">
        <v>51</v>
      </c>
      <c r="C38" s="53" t="s">
        <v>52</v>
      </c>
    </row>
    <row r="39" spans="1:3" ht="110.1" customHeight="1" thickBot="1" x14ac:dyDescent="0.3">
      <c r="A39" s="54" t="s">
        <v>53</v>
      </c>
      <c r="B39" s="58" t="s">
        <v>36</v>
      </c>
      <c r="C39" s="55" t="s">
        <v>54</v>
      </c>
    </row>
    <row r="40" spans="1:3" s="62" customFormat="1" ht="15.75" customHeight="1" thickBot="1" x14ac:dyDescent="0.3">
      <c r="A40" s="59"/>
      <c r="B40" s="60"/>
      <c r="C40" s="60"/>
    </row>
    <row r="41" spans="1:3" ht="15.75" customHeight="1" thickBot="1" x14ac:dyDescent="0.3">
      <c r="A41" s="95" t="s">
        <v>55</v>
      </c>
      <c r="B41" s="96"/>
      <c r="C41" s="97"/>
    </row>
    <row r="42" spans="1:3" ht="30" customHeight="1" x14ac:dyDescent="0.25">
      <c r="A42" s="50" t="s">
        <v>23</v>
      </c>
      <c r="B42" s="48" t="s">
        <v>24</v>
      </c>
      <c r="C42" s="51" t="s">
        <v>25</v>
      </c>
    </row>
    <row r="43" spans="1:3" ht="30" x14ac:dyDescent="0.25">
      <c r="A43" s="52" t="s">
        <v>26</v>
      </c>
      <c r="B43" s="49" t="s">
        <v>56</v>
      </c>
      <c r="C43" s="56" t="s">
        <v>57</v>
      </c>
    </row>
    <row r="44" spans="1:3" ht="45" x14ac:dyDescent="0.25">
      <c r="A44" s="52" t="s">
        <v>29</v>
      </c>
      <c r="B44" s="49" t="s">
        <v>30</v>
      </c>
      <c r="C44" s="57" t="s">
        <v>58</v>
      </c>
    </row>
    <row r="45" spans="1:3" ht="60" x14ac:dyDescent="0.25">
      <c r="A45" s="52" t="s">
        <v>32</v>
      </c>
      <c r="B45" s="49" t="s">
        <v>59</v>
      </c>
      <c r="C45" s="53" t="s">
        <v>60</v>
      </c>
    </row>
    <row r="46" spans="1:3" ht="120" customHeight="1" thickBot="1" x14ac:dyDescent="0.3">
      <c r="A46" s="54" t="s">
        <v>61</v>
      </c>
      <c r="B46" s="58" t="s">
        <v>36</v>
      </c>
      <c r="C46" s="55" t="s">
        <v>62</v>
      </c>
    </row>
    <row r="47" spans="1:3" s="62" customFormat="1" ht="15.75" customHeight="1" thickBot="1" x14ac:dyDescent="0.3">
      <c r="A47" s="59"/>
      <c r="B47" s="60"/>
      <c r="C47" s="60"/>
    </row>
    <row r="48" spans="1:3" ht="15.75" customHeight="1" thickBot="1" x14ac:dyDescent="0.3">
      <c r="A48" s="95" t="s">
        <v>63</v>
      </c>
      <c r="B48" s="96"/>
      <c r="C48" s="97"/>
    </row>
    <row r="49" spans="1:3" ht="30" customHeight="1" x14ac:dyDescent="0.25">
      <c r="A49" s="50" t="s">
        <v>23</v>
      </c>
      <c r="B49" s="48" t="s">
        <v>24</v>
      </c>
      <c r="C49" s="51" t="s">
        <v>25</v>
      </c>
    </row>
    <row r="50" spans="1:3" ht="30" customHeight="1" x14ac:dyDescent="0.25">
      <c r="A50" s="52" t="s">
        <v>26</v>
      </c>
      <c r="B50" s="49" t="s">
        <v>64</v>
      </c>
      <c r="C50" s="56" t="s">
        <v>65</v>
      </c>
    </row>
    <row r="51" spans="1:3" ht="45" x14ac:dyDescent="0.25">
      <c r="A51" s="52" t="s">
        <v>29</v>
      </c>
      <c r="B51" s="49" t="s">
        <v>66</v>
      </c>
      <c r="C51" s="57" t="s">
        <v>67</v>
      </c>
    </row>
    <row r="52" spans="1:3" ht="30" customHeight="1" x14ac:dyDescent="0.25">
      <c r="A52" s="52" t="s">
        <v>32</v>
      </c>
      <c r="B52" s="49" t="s">
        <v>68</v>
      </c>
      <c r="C52" s="53" t="s">
        <v>69</v>
      </c>
    </row>
    <row r="53" spans="1:3" ht="120" customHeight="1" thickBot="1" x14ac:dyDescent="0.3">
      <c r="A53" s="54" t="s">
        <v>70</v>
      </c>
      <c r="B53" s="58" t="s">
        <v>36</v>
      </c>
      <c r="C53" s="55" t="s">
        <v>71</v>
      </c>
    </row>
    <row r="54" spans="1:3" s="62" customFormat="1" ht="15.75" customHeight="1" thickBot="1" x14ac:dyDescent="0.3">
      <c r="A54" s="59"/>
      <c r="B54" s="60"/>
      <c r="C54" s="60"/>
    </row>
    <row r="55" spans="1:3" ht="15.75" customHeight="1" thickBot="1" x14ac:dyDescent="0.3">
      <c r="A55" s="119" t="s">
        <v>72</v>
      </c>
      <c r="B55" s="97"/>
    </row>
    <row r="56" spans="1:3" ht="15.75" customHeight="1" thickBot="1" x14ac:dyDescent="0.3">
      <c r="A56" s="33" t="s">
        <v>73</v>
      </c>
      <c r="B56" s="34" t="s">
        <v>74</v>
      </c>
    </row>
    <row r="57" spans="1:3" x14ac:dyDescent="0.25">
      <c r="A57" s="35" t="s">
        <v>75</v>
      </c>
      <c r="B57" s="39" t="s">
        <v>76</v>
      </c>
    </row>
    <row r="58" spans="1:3" x14ac:dyDescent="0.25">
      <c r="A58" s="35" t="s">
        <v>77</v>
      </c>
      <c r="B58" s="40" t="s">
        <v>76</v>
      </c>
    </row>
    <row r="59" spans="1:3" ht="30" x14ac:dyDescent="0.25">
      <c r="A59" s="35" t="s">
        <v>78</v>
      </c>
      <c r="B59" s="40" t="s">
        <v>79</v>
      </c>
    </row>
    <row r="60" spans="1:3" x14ac:dyDescent="0.25">
      <c r="A60" s="35" t="s">
        <v>80</v>
      </c>
      <c r="B60" s="40" t="s">
        <v>81</v>
      </c>
    </row>
    <row r="61" spans="1:3" x14ac:dyDescent="0.25">
      <c r="A61" s="35" t="s">
        <v>82</v>
      </c>
      <c r="B61" s="40" t="s">
        <v>83</v>
      </c>
    </row>
    <row r="62" spans="1:3" x14ac:dyDescent="0.25">
      <c r="A62" s="35" t="s">
        <v>84</v>
      </c>
      <c r="B62" s="40" t="s">
        <v>85</v>
      </c>
    </row>
    <row r="63" spans="1:3" x14ac:dyDescent="0.25">
      <c r="A63" s="36" t="s">
        <v>86</v>
      </c>
      <c r="B63" s="42"/>
    </row>
    <row r="64" spans="1:3" x14ac:dyDescent="0.25">
      <c r="A64" s="37"/>
      <c r="B64" s="40"/>
    </row>
    <row r="65" spans="1:2" ht="15.75" customHeight="1" thickBot="1" x14ac:dyDescent="0.3">
      <c r="A65" s="38"/>
      <c r="B65" s="41" t="s">
        <v>85</v>
      </c>
    </row>
    <row r="66" spans="1:2" ht="15.75" customHeight="1" thickBot="1" x14ac:dyDescent="0.3">
      <c r="A66" s="114" t="s">
        <v>87</v>
      </c>
      <c r="B66" s="97"/>
    </row>
    <row r="67" spans="1:2" ht="15.75" customHeight="1" thickBot="1" x14ac:dyDescent="0.3">
      <c r="A67" s="33" t="s">
        <v>88</v>
      </c>
      <c r="B67" s="34" t="s">
        <v>89</v>
      </c>
    </row>
    <row r="68" spans="1:2" ht="69.95" customHeight="1" x14ac:dyDescent="0.25">
      <c r="A68" s="116" t="s">
        <v>90</v>
      </c>
      <c r="B68" s="107" t="s">
        <v>91</v>
      </c>
    </row>
    <row r="69" spans="1:2" ht="15.75" customHeight="1" thickBot="1" x14ac:dyDescent="0.3">
      <c r="A69" s="106"/>
      <c r="B69" s="106"/>
    </row>
    <row r="70" spans="1:2" ht="80.099999999999994" customHeight="1" x14ac:dyDescent="0.25">
      <c r="A70" s="104" t="s">
        <v>92</v>
      </c>
      <c r="B70" s="107" t="s">
        <v>93</v>
      </c>
    </row>
    <row r="71" spans="1:2" x14ac:dyDescent="0.25">
      <c r="A71" s="105"/>
      <c r="B71" s="105"/>
    </row>
    <row r="72" spans="1:2" x14ac:dyDescent="0.25">
      <c r="A72" s="105"/>
      <c r="B72" s="105"/>
    </row>
    <row r="73" spans="1:2" ht="15.75" customHeight="1" thickBot="1" x14ac:dyDescent="0.3">
      <c r="A73" s="106"/>
      <c r="B73" s="106"/>
    </row>
    <row r="74" spans="1:2" ht="80.099999999999994" customHeight="1" x14ac:dyDescent="0.25">
      <c r="A74" s="104" t="s">
        <v>94</v>
      </c>
      <c r="B74" s="107" t="s">
        <v>95</v>
      </c>
    </row>
    <row r="75" spans="1:2" x14ac:dyDescent="0.25">
      <c r="A75" s="105"/>
      <c r="B75" s="105"/>
    </row>
    <row r="76" spans="1:2" x14ac:dyDescent="0.25">
      <c r="A76" s="105"/>
      <c r="B76" s="105"/>
    </row>
    <row r="77" spans="1:2" x14ac:dyDescent="0.25">
      <c r="A77" s="105"/>
      <c r="B77" s="105"/>
    </row>
    <row r="78" spans="1:2" x14ac:dyDescent="0.25">
      <c r="A78" s="105"/>
      <c r="B78" s="105"/>
    </row>
    <row r="79" spans="1:2" ht="15.75" customHeight="1" thickBot="1" x14ac:dyDescent="0.3">
      <c r="A79" s="106"/>
      <c r="B79" s="106"/>
    </row>
    <row r="80" spans="1:2" ht="69.95" customHeight="1" thickBot="1" x14ac:dyDescent="0.3">
      <c r="A80" s="76" t="s">
        <v>96</v>
      </c>
      <c r="B80" s="32" t="s">
        <v>97</v>
      </c>
    </row>
    <row r="81" spans="1:2" ht="80.099999999999994" customHeight="1" x14ac:dyDescent="0.25">
      <c r="A81" s="113" t="s">
        <v>98</v>
      </c>
      <c r="B81" s="107" t="s">
        <v>99</v>
      </c>
    </row>
    <row r="82" spans="1:2" x14ac:dyDescent="0.25">
      <c r="A82" s="105"/>
      <c r="B82" s="105"/>
    </row>
    <row r="83" spans="1:2" x14ac:dyDescent="0.25">
      <c r="A83" s="105"/>
      <c r="B83" s="105"/>
    </row>
    <row r="84" spans="1:2" x14ac:dyDescent="0.25">
      <c r="A84" s="105"/>
      <c r="B84" s="105"/>
    </row>
    <row r="85" spans="1:2" ht="15.75" customHeight="1" thickBot="1" x14ac:dyDescent="0.3">
      <c r="A85" s="106"/>
      <c r="B85" s="106"/>
    </row>
    <row r="86" spans="1:2" ht="69.95" customHeight="1" x14ac:dyDescent="0.25">
      <c r="A86" s="116" t="s">
        <v>100</v>
      </c>
      <c r="B86" s="107" t="s">
        <v>101</v>
      </c>
    </row>
    <row r="87" spans="1:2" x14ac:dyDescent="0.25">
      <c r="A87" s="105"/>
      <c r="B87" s="105"/>
    </row>
    <row r="88" spans="1:2" x14ac:dyDescent="0.25">
      <c r="A88" s="105"/>
      <c r="B88" s="105"/>
    </row>
    <row r="89" spans="1:2" ht="15.75" customHeight="1" thickBot="1" x14ac:dyDescent="0.3">
      <c r="A89" s="106"/>
      <c r="B89" s="106"/>
    </row>
    <row r="90" spans="1:2" ht="15.75" customHeight="1" thickBot="1" x14ac:dyDescent="0.3"/>
    <row r="91" spans="1:2" ht="30.75" customHeight="1" thickBot="1" x14ac:dyDescent="0.3">
      <c r="A91" s="122" t="s">
        <v>102</v>
      </c>
      <c r="B91" s="99"/>
    </row>
    <row r="92" spans="1:2" x14ac:dyDescent="0.25">
      <c r="A92" s="93" t="s">
        <v>103</v>
      </c>
      <c r="B92" s="94"/>
    </row>
    <row r="93" spans="1:2" x14ac:dyDescent="0.25">
      <c r="A93" s="108" t="s">
        <v>104</v>
      </c>
      <c r="B93" s="109"/>
    </row>
    <row r="94" spans="1:2" x14ac:dyDescent="0.25">
      <c r="A94" s="108" t="s">
        <v>105</v>
      </c>
      <c r="B94" s="109"/>
    </row>
    <row r="95" spans="1:2" ht="21" customHeight="1" x14ac:dyDescent="0.25">
      <c r="A95" s="108" t="s">
        <v>106</v>
      </c>
      <c r="B95" s="109"/>
    </row>
    <row r="96" spans="1:2" x14ac:dyDescent="0.25">
      <c r="A96" s="108" t="s">
        <v>107</v>
      </c>
      <c r="B96" s="109"/>
    </row>
    <row r="97" spans="1:2" ht="21" customHeight="1" thickBot="1" x14ac:dyDescent="0.3">
      <c r="A97" s="120" t="s">
        <v>108</v>
      </c>
      <c r="B97" s="121"/>
    </row>
  </sheetData>
  <mergeCells count="30">
    <mergeCell ref="A97:B97"/>
    <mergeCell ref="A91:B91"/>
    <mergeCell ref="A96:B96"/>
    <mergeCell ref="B74:B79"/>
    <mergeCell ref="A93:B93"/>
    <mergeCell ref="A95:B95"/>
    <mergeCell ref="A5:B5"/>
    <mergeCell ref="B81:B85"/>
    <mergeCell ref="A34:C34"/>
    <mergeCell ref="A48:C48"/>
    <mergeCell ref="A68:A69"/>
    <mergeCell ref="A9:B9"/>
    <mergeCell ref="A94:B94"/>
    <mergeCell ref="A2:C2"/>
    <mergeCell ref="B70:B73"/>
    <mergeCell ref="A14:C14"/>
    <mergeCell ref="A81:A85"/>
    <mergeCell ref="A66:B66"/>
    <mergeCell ref="A6:B8"/>
    <mergeCell ref="A86:A89"/>
    <mergeCell ref="A20:C20"/>
    <mergeCell ref="B68:B69"/>
    <mergeCell ref="A55:B55"/>
    <mergeCell ref="A74:A79"/>
    <mergeCell ref="A92:B92"/>
    <mergeCell ref="A41:C41"/>
    <mergeCell ref="A10:B12"/>
    <mergeCell ref="A70:A73"/>
    <mergeCell ref="A27:C27"/>
    <mergeCell ref="B86:B89"/>
  </mergeCells>
  <pageMargins left="0.70866141732283472" right="0.70866141732283472" top="0.74803149606299213" bottom="0.74803149606299213" header="0.31496062992125978" footer="0.31496062992125978"/>
  <pageSetup paperSize="9" scale="8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57"/>
  <sheetViews>
    <sheetView zoomScale="85" zoomScaleNormal="85" workbookViewId="0">
      <selection activeCell="O3" sqref="O3"/>
    </sheetView>
  </sheetViews>
  <sheetFormatPr baseColWidth="10" defaultRowHeight="15" x14ac:dyDescent="0.25"/>
  <cols>
    <col min="1" max="1" width="7.28515625" customWidth="1"/>
    <col min="2" max="2" width="32.140625" customWidth="1"/>
    <col min="3" max="3" width="38" customWidth="1"/>
    <col min="4" max="4" width="34.28515625" customWidth="1"/>
    <col min="5" max="5" width="44.140625" customWidth="1"/>
  </cols>
  <sheetData>
    <row r="1" spans="1:5" ht="15.75" customHeight="1" thickBot="1" x14ac:dyDescent="0.3"/>
    <row r="2" spans="1:5" x14ac:dyDescent="0.25">
      <c r="A2" s="141" t="s">
        <v>109</v>
      </c>
      <c r="B2" s="94"/>
      <c r="C2" s="142" t="s">
        <v>4</v>
      </c>
      <c r="D2" s="94"/>
    </row>
    <row r="3" spans="1:5" x14ac:dyDescent="0.25">
      <c r="A3" s="134" t="s">
        <v>1</v>
      </c>
      <c r="B3" s="109"/>
      <c r="C3" s="148" t="s">
        <v>110</v>
      </c>
      <c r="D3" s="137"/>
    </row>
    <row r="4" spans="1:5" x14ac:dyDescent="0.25">
      <c r="A4" s="135" t="s">
        <v>218</v>
      </c>
      <c r="B4" s="109"/>
      <c r="C4" s="144" t="s">
        <v>219</v>
      </c>
      <c r="D4" s="109"/>
    </row>
    <row r="5" spans="1:5" x14ac:dyDescent="0.25">
      <c r="A5" s="134" t="s">
        <v>220</v>
      </c>
      <c r="B5" s="109"/>
      <c r="C5" s="143" t="s">
        <v>221</v>
      </c>
      <c r="D5" s="109"/>
    </row>
    <row r="6" spans="1:5" x14ac:dyDescent="0.25">
      <c r="A6" s="135" t="s">
        <v>222</v>
      </c>
      <c r="B6" s="109"/>
      <c r="C6" s="140" t="s">
        <v>223</v>
      </c>
      <c r="D6" s="109"/>
    </row>
    <row r="7" spans="1:5" ht="15" customHeight="1" x14ac:dyDescent="0.25">
      <c r="A7" s="134" t="s">
        <v>224</v>
      </c>
      <c r="B7" s="127"/>
      <c r="C7" s="146" t="s">
        <v>225</v>
      </c>
      <c r="D7" s="109"/>
    </row>
    <row r="8" spans="1:5" x14ac:dyDescent="0.25">
      <c r="A8" s="147"/>
      <c r="B8" s="130"/>
      <c r="C8" s="146" t="s">
        <v>226</v>
      </c>
      <c r="D8" s="109"/>
    </row>
    <row r="9" spans="1:5" x14ac:dyDescent="0.25">
      <c r="A9" s="135" t="s">
        <v>111</v>
      </c>
      <c r="B9" s="109"/>
      <c r="C9" s="140" t="s">
        <v>112</v>
      </c>
      <c r="D9" s="109"/>
    </row>
    <row r="10" spans="1:5" ht="30.75" customHeight="1" x14ac:dyDescent="0.25">
      <c r="A10" s="134" t="s">
        <v>113</v>
      </c>
      <c r="B10" s="109"/>
      <c r="C10" s="138" t="s">
        <v>114</v>
      </c>
      <c r="D10" s="109"/>
    </row>
    <row r="11" spans="1:5" ht="15.75" customHeight="1" thickBot="1" x14ac:dyDescent="0.3">
      <c r="A11" s="139" t="s">
        <v>115</v>
      </c>
      <c r="B11" s="121"/>
      <c r="C11" s="131" t="s">
        <v>116</v>
      </c>
      <c r="D11" s="121"/>
    </row>
    <row r="13" spans="1:5" ht="15.75" customHeight="1" thickBot="1" x14ac:dyDescent="0.3"/>
    <row r="14" spans="1:5" ht="21.75" customHeight="1" thickBot="1" x14ac:dyDescent="0.3">
      <c r="A14" s="145" t="s">
        <v>227</v>
      </c>
      <c r="B14" s="96"/>
      <c r="C14" s="96"/>
      <c r="D14" s="96"/>
      <c r="E14" s="97"/>
    </row>
    <row r="15" spans="1:5" ht="30.75" customHeight="1" thickBot="1" x14ac:dyDescent="0.3">
      <c r="A15" s="9" t="s">
        <v>228</v>
      </c>
      <c r="B15" s="10" t="s">
        <v>229</v>
      </c>
      <c r="C15" s="11" t="s">
        <v>230</v>
      </c>
      <c r="D15" s="12" t="s">
        <v>231</v>
      </c>
      <c r="E15" s="13" t="s">
        <v>232</v>
      </c>
    </row>
    <row r="16" spans="1:5" ht="45.95" customHeight="1" thickBot="1" x14ac:dyDescent="0.3">
      <c r="A16" s="8">
        <v>1</v>
      </c>
      <c r="B16" s="1" t="s">
        <v>233</v>
      </c>
      <c r="C16" s="78" t="s">
        <v>234</v>
      </c>
      <c r="D16" s="2" t="s">
        <v>235</v>
      </c>
      <c r="E16" s="79" t="s">
        <v>234</v>
      </c>
    </row>
    <row r="17" spans="1:5" ht="45.95" customHeight="1" thickBot="1" x14ac:dyDescent="0.3">
      <c r="A17" s="8">
        <v>2</v>
      </c>
      <c r="B17" s="1" t="s">
        <v>236</v>
      </c>
      <c r="C17" s="78" t="s">
        <v>234</v>
      </c>
      <c r="D17" s="2" t="s">
        <v>237</v>
      </c>
      <c r="E17" s="79" t="s">
        <v>234</v>
      </c>
    </row>
    <row r="18" spans="1:5" ht="45.95" customHeight="1" thickBot="1" x14ac:dyDescent="0.3">
      <c r="A18" s="8">
        <v>3</v>
      </c>
      <c r="B18" s="1" t="s">
        <v>238</v>
      </c>
      <c r="C18" s="78" t="s">
        <v>234</v>
      </c>
      <c r="D18" s="2" t="s">
        <v>239</v>
      </c>
      <c r="E18" s="79" t="s">
        <v>234</v>
      </c>
    </row>
    <row r="19" spans="1:5" ht="45.95" customHeight="1" thickBot="1" x14ac:dyDescent="0.3">
      <c r="A19" s="8">
        <v>4</v>
      </c>
      <c r="B19" s="1" t="s">
        <v>240</v>
      </c>
      <c r="C19" s="78" t="s">
        <v>234</v>
      </c>
      <c r="D19" s="2" t="s">
        <v>241</v>
      </c>
      <c r="E19" s="79" t="s">
        <v>234</v>
      </c>
    </row>
    <row r="20" spans="1:5" ht="45.95" customHeight="1" thickBot="1" x14ac:dyDescent="0.3">
      <c r="A20" s="8">
        <v>5</v>
      </c>
      <c r="B20" s="1" t="s">
        <v>242</v>
      </c>
      <c r="C20" s="78" t="s">
        <v>234</v>
      </c>
      <c r="D20" s="2" t="s">
        <v>243</v>
      </c>
      <c r="E20" s="79" t="s">
        <v>234</v>
      </c>
    </row>
    <row r="21" spans="1:5" ht="45.95" customHeight="1" thickBot="1" x14ac:dyDescent="0.3">
      <c r="A21" s="8">
        <v>6</v>
      </c>
      <c r="B21" s="1" t="s">
        <v>244</v>
      </c>
      <c r="C21" s="78" t="s">
        <v>234</v>
      </c>
      <c r="D21" s="2" t="s">
        <v>245</v>
      </c>
      <c r="E21" s="79" t="s">
        <v>234</v>
      </c>
    </row>
    <row r="22" spans="1:5" ht="45.95" customHeight="1" thickBot="1" x14ac:dyDescent="0.3">
      <c r="A22" s="8">
        <v>7</v>
      </c>
      <c r="B22" s="1" t="s">
        <v>246</v>
      </c>
      <c r="C22" s="78" t="s">
        <v>234</v>
      </c>
      <c r="D22" s="2" t="s">
        <v>247</v>
      </c>
      <c r="E22" s="79" t="s">
        <v>234</v>
      </c>
    </row>
    <row r="23" spans="1:5" ht="45.95" customHeight="1" thickBot="1" x14ac:dyDescent="0.3">
      <c r="A23" s="8">
        <v>8</v>
      </c>
      <c r="B23" s="1" t="s">
        <v>248</v>
      </c>
      <c r="C23" s="78" t="s">
        <v>234</v>
      </c>
      <c r="D23" s="2" t="s">
        <v>249</v>
      </c>
      <c r="E23" s="79" t="s">
        <v>234</v>
      </c>
    </row>
    <row r="24" spans="1:5" ht="45.95" customHeight="1" thickBot="1" x14ac:dyDescent="0.3">
      <c r="A24" s="8">
        <v>9</v>
      </c>
      <c r="B24" s="1" t="s">
        <v>250</v>
      </c>
      <c r="C24" s="78" t="s">
        <v>234</v>
      </c>
      <c r="D24" s="2" t="s">
        <v>251</v>
      </c>
      <c r="E24" s="79" t="s">
        <v>234</v>
      </c>
    </row>
    <row r="25" spans="1:5" ht="45.95" customHeight="1" thickBot="1" x14ac:dyDescent="0.3">
      <c r="A25" s="8">
        <v>10</v>
      </c>
      <c r="B25" s="1" t="s">
        <v>252</v>
      </c>
      <c r="C25" s="78" t="s">
        <v>234</v>
      </c>
      <c r="D25" s="2" t="s">
        <v>253</v>
      </c>
      <c r="E25" s="79" t="s">
        <v>234</v>
      </c>
    </row>
    <row r="26" spans="1:5" ht="45.95" customHeight="1" thickBot="1" x14ac:dyDescent="0.3">
      <c r="A26" s="8">
        <v>11</v>
      </c>
      <c r="B26" s="1" t="s">
        <v>254</v>
      </c>
      <c r="C26" s="78" t="s">
        <v>234</v>
      </c>
      <c r="D26" s="2" t="s">
        <v>255</v>
      </c>
      <c r="E26" s="79" t="s">
        <v>234</v>
      </c>
    </row>
    <row r="27" spans="1:5" ht="45.95" customHeight="1" thickBot="1" x14ac:dyDescent="0.3">
      <c r="A27" s="8">
        <v>12</v>
      </c>
      <c r="B27" s="1" t="s">
        <v>256</v>
      </c>
      <c r="C27" s="78" t="s">
        <v>234</v>
      </c>
      <c r="D27" s="2" t="s">
        <v>257</v>
      </c>
      <c r="E27" s="79" t="s">
        <v>234</v>
      </c>
    </row>
    <row r="28" spans="1:5" ht="45.95" customHeight="1" thickBot="1" x14ac:dyDescent="0.3">
      <c r="A28" s="8">
        <v>13</v>
      </c>
      <c r="B28" s="1" t="s">
        <v>258</v>
      </c>
      <c r="C28" s="78" t="s">
        <v>234</v>
      </c>
      <c r="D28" s="2" t="s">
        <v>259</v>
      </c>
      <c r="E28" s="79" t="s">
        <v>234</v>
      </c>
    </row>
    <row r="29" spans="1:5" ht="45.95" customHeight="1" thickBot="1" x14ac:dyDescent="0.3">
      <c r="A29" s="8">
        <v>14</v>
      </c>
      <c r="B29" s="1" t="s">
        <v>260</v>
      </c>
      <c r="C29" s="78" t="s">
        <v>234</v>
      </c>
      <c r="D29" s="2" t="s">
        <v>261</v>
      </c>
      <c r="E29" s="79" t="s">
        <v>234</v>
      </c>
    </row>
    <row r="30" spans="1:5" ht="20.100000000000001" customHeight="1" thickBot="1" x14ac:dyDescent="0.3">
      <c r="A30" s="8">
        <v>15</v>
      </c>
      <c r="B30" s="1" t="s">
        <v>262</v>
      </c>
      <c r="C30" s="78" t="s">
        <v>234</v>
      </c>
      <c r="D30" s="2"/>
      <c r="E30" s="79"/>
    </row>
    <row r="31" spans="1:5" ht="20.100000000000001" customHeight="1" x14ac:dyDescent="0.25">
      <c r="A31" s="8">
        <v>16</v>
      </c>
      <c r="B31" s="1" t="s">
        <v>263</v>
      </c>
      <c r="C31" s="78" t="s">
        <v>234</v>
      </c>
      <c r="D31" s="2"/>
      <c r="E31" s="79"/>
    </row>
    <row r="32" spans="1:5" ht="20.100000000000001" customHeight="1" x14ac:dyDescent="0.25">
      <c r="A32" s="8">
        <v>17</v>
      </c>
      <c r="B32" s="1" t="s">
        <v>264</v>
      </c>
      <c r="C32" s="78" t="s">
        <v>234</v>
      </c>
      <c r="D32" s="2"/>
      <c r="E32" s="79"/>
    </row>
    <row r="33" spans="1:5" ht="20.100000000000001" customHeight="1" x14ac:dyDescent="0.25">
      <c r="A33" s="8">
        <v>18</v>
      </c>
      <c r="B33" s="1" t="s">
        <v>265</v>
      </c>
      <c r="C33" s="78" t="s">
        <v>234</v>
      </c>
      <c r="D33" s="2"/>
      <c r="E33" s="79"/>
    </row>
    <row r="34" spans="1:5" ht="20.100000000000001" customHeight="1" x14ac:dyDescent="0.25">
      <c r="A34" s="8">
        <v>19</v>
      </c>
      <c r="B34" s="1" t="s">
        <v>266</v>
      </c>
      <c r="C34" s="78" t="s">
        <v>234</v>
      </c>
      <c r="D34" s="2"/>
      <c r="E34" s="79"/>
    </row>
    <row r="35" spans="1:5" ht="20.100000000000001" customHeight="1" x14ac:dyDescent="0.25">
      <c r="A35" s="8">
        <v>20</v>
      </c>
      <c r="B35" s="1" t="s">
        <v>267</v>
      </c>
      <c r="C35" s="78" t="s">
        <v>234</v>
      </c>
      <c r="D35" s="2"/>
      <c r="E35" s="79"/>
    </row>
    <row r="36" spans="1:5" ht="20.100000000000001" customHeight="1" x14ac:dyDescent="0.25">
      <c r="A36" s="8">
        <v>21</v>
      </c>
      <c r="B36" s="1" t="s">
        <v>268</v>
      </c>
      <c r="C36" s="78" t="s">
        <v>234</v>
      </c>
      <c r="D36" s="2"/>
      <c r="E36" s="79"/>
    </row>
    <row r="37" spans="1:5" ht="20.100000000000001" customHeight="1" x14ac:dyDescent="0.25">
      <c r="A37" s="8">
        <v>22</v>
      </c>
      <c r="B37" s="1" t="s">
        <v>269</v>
      </c>
      <c r="C37" s="78" t="s">
        <v>234</v>
      </c>
      <c r="D37" s="2"/>
      <c r="E37" s="79"/>
    </row>
    <row r="38" spans="1:5" ht="21.75" customHeight="1" x14ac:dyDescent="0.25">
      <c r="A38" s="6" t="s">
        <v>154</v>
      </c>
      <c r="B38" s="7">
        <f>COUNTA(B16:B37)</f>
        <v>22</v>
      </c>
      <c r="C38" s="7">
        <f>COUNTA(C16:C37)</f>
        <v>22</v>
      </c>
      <c r="D38" s="7">
        <f>COUNTA(D16:D37)</f>
        <v>14</v>
      </c>
      <c r="E38" s="7">
        <f>COUNTA(E16:E37)</f>
        <v>14</v>
      </c>
    </row>
    <row r="41" spans="1:5" x14ac:dyDescent="0.25">
      <c r="B41" s="111" t="s">
        <v>270</v>
      </c>
      <c r="C41" s="111"/>
    </row>
    <row r="44" spans="1:5" x14ac:dyDescent="0.25">
      <c r="B44" s="7" t="s">
        <v>271</v>
      </c>
      <c r="C44" s="7" t="s">
        <v>272</v>
      </c>
      <c r="D44" s="7" t="s">
        <v>273</v>
      </c>
      <c r="E44" s="7" t="s">
        <v>274</v>
      </c>
    </row>
    <row r="45" spans="1:5" x14ac:dyDescent="0.25">
      <c r="B45">
        <f>B38</f>
        <v>22</v>
      </c>
      <c r="C45">
        <f>C38</f>
        <v>22</v>
      </c>
      <c r="D45">
        <f>D38</f>
        <v>14</v>
      </c>
      <c r="E45">
        <f>E38</f>
        <v>14</v>
      </c>
    </row>
    <row r="46" spans="1:5" x14ac:dyDescent="0.25">
      <c r="B46" s="91">
        <f>C45/B45</f>
        <v>1</v>
      </c>
      <c r="D46" s="91">
        <f>E45/D45</f>
        <v>1</v>
      </c>
    </row>
    <row r="51" spans="2:5" ht="15.75" customHeight="1" thickBot="1" x14ac:dyDescent="0.3"/>
    <row r="52" spans="2:5" ht="15.75" customHeight="1" thickBot="1" x14ac:dyDescent="0.3">
      <c r="B52" s="92"/>
    </row>
    <row r="55" spans="2:5" x14ac:dyDescent="0.25">
      <c r="B55" s="43"/>
      <c r="C55" s="43"/>
      <c r="D55" s="25"/>
      <c r="E55" s="25"/>
    </row>
    <row r="56" spans="2:5" x14ac:dyDescent="0.25">
      <c r="B56" s="43"/>
      <c r="C56" s="43"/>
      <c r="D56" s="25"/>
      <c r="E56" s="25"/>
    </row>
    <row r="57" spans="2:5" x14ac:dyDescent="0.25">
      <c r="B57" s="44"/>
      <c r="D57" s="44"/>
    </row>
  </sheetData>
  <mergeCells count="21">
    <mergeCell ref="A3:B3"/>
    <mergeCell ref="A2:B2"/>
    <mergeCell ref="C2:D2"/>
    <mergeCell ref="C11:D11"/>
    <mergeCell ref="B41:C41"/>
    <mergeCell ref="A5:B5"/>
    <mergeCell ref="A14:E14"/>
    <mergeCell ref="C8:D8"/>
    <mergeCell ref="A4:B4"/>
    <mergeCell ref="C7:D7"/>
    <mergeCell ref="A7:B8"/>
    <mergeCell ref="A10:B10"/>
    <mergeCell ref="A9:B9"/>
    <mergeCell ref="C3:D3"/>
    <mergeCell ref="C6:D6"/>
    <mergeCell ref="A11:B11"/>
    <mergeCell ref="C5:D5"/>
    <mergeCell ref="A6:B6"/>
    <mergeCell ref="C4:D4"/>
    <mergeCell ref="C10:D10"/>
    <mergeCell ref="C9:D9"/>
  </mergeCells>
  <pageMargins left="0.70866141732283472" right="0.70866141732283472" top="0.74803149606299213" bottom="0.74803149606299213" header="0.31496062992125978" footer="0.31496062992125978"/>
  <pageSetup paperSize="9" scale="8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J37"/>
  <sheetViews>
    <sheetView topLeftCell="A13" zoomScale="110" zoomScaleNormal="110" workbookViewId="0">
      <selection activeCell="D21" sqref="D21"/>
    </sheetView>
  </sheetViews>
  <sheetFormatPr baseColWidth="10" defaultRowHeight="15" x14ac:dyDescent="0.25"/>
  <cols>
    <col min="2" max="2" width="14.85546875" customWidth="1"/>
    <col min="3" max="3" width="83.7109375" customWidth="1"/>
  </cols>
  <sheetData>
    <row r="1" spans="2:10" x14ac:dyDescent="0.25">
      <c r="B1" s="125" t="s">
        <v>275</v>
      </c>
      <c r="C1" s="14" t="s">
        <v>276</v>
      </c>
    </row>
    <row r="2" spans="2:10" x14ac:dyDescent="0.25">
      <c r="B2" s="149"/>
      <c r="C2" s="14" t="s">
        <v>277</v>
      </c>
    </row>
    <row r="3" spans="2:10" x14ac:dyDescent="0.25">
      <c r="B3" s="149"/>
      <c r="C3" s="14" t="s">
        <v>278</v>
      </c>
      <c r="E3" s="150" t="s">
        <v>279</v>
      </c>
      <c r="F3" s="126"/>
      <c r="G3" s="126"/>
      <c r="H3" s="126"/>
      <c r="I3" s="126"/>
      <c r="J3" s="127"/>
    </row>
    <row r="4" spans="2:10" x14ac:dyDescent="0.25">
      <c r="B4" s="149"/>
      <c r="C4" s="14" t="s">
        <v>280</v>
      </c>
      <c r="E4" s="151"/>
      <c r="F4" s="111"/>
      <c r="G4" s="111"/>
      <c r="H4" s="111"/>
      <c r="I4" s="111"/>
      <c r="J4" s="152"/>
    </row>
    <row r="5" spans="2:10" x14ac:dyDescent="0.25">
      <c r="B5" s="149"/>
      <c r="C5" s="14" t="s">
        <v>281</v>
      </c>
      <c r="E5" s="151"/>
      <c r="F5" s="111"/>
      <c r="G5" s="111"/>
      <c r="H5" s="111"/>
      <c r="I5" s="111"/>
      <c r="J5" s="152"/>
    </row>
    <row r="6" spans="2:10" x14ac:dyDescent="0.25">
      <c r="B6" s="132"/>
      <c r="C6" s="14" t="s">
        <v>282</v>
      </c>
      <c r="E6" s="128"/>
      <c r="F6" s="129"/>
      <c r="G6" s="129"/>
      <c r="H6" s="129"/>
      <c r="I6" s="129"/>
      <c r="J6" s="130"/>
    </row>
    <row r="8" spans="2:10" ht="75" customHeight="1" x14ac:dyDescent="0.25">
      <c r="B8" s="16" t="s">
        <v>120</v>
      </c>
      <c r="C8" s="23" t="s">
        <v>283</v>
      </c>
    </row>
    <row r="9" spans="2:10" ht="30" customHeight="1" x14ac:dyDescent="0.25">
      <c r="B9" s="16" t="s">
        <v>121</v>
      </c>
      <c r="C9" s="23" t="s">
        <v>284</v>
      </c>
    </row>
    <row r="10" spans="2:10" ht="45" customHeight="1" x14ac:dyDescent="0.25">
      <c r="B10" s="16" t="s">
        <v>122</v>
      </c>
      <c r="C10" s="27" t="s">
        <v>285</v>
      </c>
    </row>
    <row r="11" spans="2:10" ht="45" customHeight="1" x14ac:dyDescent="0.25">
      <c r="B11" s="16" t="s">
        <v>123</v>
      </c>
      <c r="C11" s="23" t="s">
        <v>286</v>
      </c>
    </row>
    <row r="12" spans="2:10" ht="45" customHeight="1" x14ac:dyDescent="0.25">
      <c r="B12" s="16" t="s">
        <v>124</v>
      </c>
      <c r="C12" s="23" t="s">
        <v>287</v>
      </c>
    </row>
    <row r="13" spans="2:10" ht="45" customHeight="1" x14ac:dyDescent="0.25">
      <c r="B13" s="16" t="s">
        <v>125</v>
      </c>
      <c r="C13" s="23" t="s">
        <v>288</v>
      </c>
    </row>
    <row r="14" spans="2:10" ht="45" customHeight="1" x14ac:dyDescent="0.25">
      <c r="B14" s="16" t="s">
        <v>126</v>
      </c>
      <c r="C14" s="23" t="s">
        <v>289</v>
      </c>
    </row>
    <row r="15" spans="2:10" ht="35.450000000000003" customHeight="1" x14ac:dyDescent="0.25">
      <c r="B15" s="16" t="s">
        <v>127</v>
      </c>
      <c r="C15" s="23" t="s">
        <v>290</v>
      </c>
    </row>
    <row r="16" spans="2:10" ht="49.9" customHeight="1" x14ac:dyDescent="0.25">
      <c r="B16" s="16" t="s">
        <v>128</v>
      </c>
      <c r="C16" s="23" t="s">
        <v>291</v>
      </c>
    </row>
    <row r="20" spans="3:5" ht="30" customHeight="1" x14ac:dyDescent="0.25">
      <c r="C20" s="23" t="s">
        <v>292</v>
      </c>
    </row>
    <row r="22" spans="3:5" x14ac:dyDescent="0.25">
      <c r="C22" s="14" t="s">
        <v>293</v>
      </c>
      <c r="E22" s="24">
        <f>1/10</f>
        <v>0.1</v>
      </c>
    </row>
    <row r="23" spans="3:5" x14ac:dyDescent="0.25">
      <c r="C23" s="14" t="s">
        <v>294</v>
      </c>
      <c r="E23" s="24">
        <f>1/5</f>
        <v>0.2</v>
      </c>
    </row>
    <row r="24" spans="3:5" x14ac:dyDescent="0.25">
      <c r="C24" s="14" t="s">
        <v>295</v>
      </c>
      <c r="E24" s="24">
        <f>1/1</f>
        <v>1</v>
      </c>
    </row>
    <row r="25" spans="3:5" x14ac:dyDescent="0.25">
      <c r="C25" s="14" t="s">
        <v>296</v>
      </c>
    </row>
    <row r="26" spans="3:5" x14ac:dyDescent="0.25">
      <c r="C26" s="14" t="s">
        <v>297</v>
      </c>
    </row>
    <row r="28" spans="3:5" ht="30" customHeight="1" x14ac:dyDescent="0.25">
      <c r="C28" s="46" t="s">
        <v>298</v>
      </c>
    </row>
    <row r="30" spans="3:5" x14ac:dyDescent="0.25">
      <c r="C30" s="14" t="s">
        <v>299</v>
      </c>
    </row>
    <row r="31" spans="3:5" x14ac:dyDescent="0.25">
      <c r="C31" s="14" t="s">
        <v>300</v>
      </c>
    </row>
    <row r="32" spans="3:5" x14ac:dyDescent="0.25">
      <c r="C32" s="14" t="s">
        <v>301</v>
      </c>
    </row>
    <row r="33" spans="3:3" x14ac:dyDescent="0.25">
      <c r="C33" s="14" t="s">
        <v>302</v>
      </c>
    </row>
    <row r="34" spans="3:3" x14ac:dyDescent="0.25">
      <c r="C34" s="14" t="s">
        <v>303</v>
      </c>
    </row>
    <row r="36" spans="3:3" ht="15.75" customHeight="1" thickBot="1" x14ac:dyDescent="0.3"/>
    <row r="37" spans="3:3" ht="135.75" customHeight="1" thickBot="1" x14ac:dyDescent="0.3">
      <c r="C37" s="74" t="s">
        <v>304</v>
      </c>
    </row>
  </sheetData>
  <mergeCells count="2">
    <mergeCell ref="B1:B6"/>
    <mergeCell ref="E3:J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7"/>
  <sheetViews>
    <sheetView topLeftCell="A19" workbookViewId="0">
      <selection activeCell="D21" sqref="D21"/>
    </sheetView>
  </sheetViews>
  <sheetFormatPr baseColWidth="10" defaultRowHeight="15" x14ac:dyDescent="0.25"/>
  <cols>
    <col min="1" max="1" width="26.5703125" customWidth="1"/>
    <col min="2" max="2" width="24.7109375" customWidth="1"/>
    <col min="3" max="3" width="42.42578125" customWidth="1"/>
    <col min="4" max="4" width="40.7109375" customWidth="1"/>
    <col min="5" max="5" width="19.5703125" customWidth="1"/>
    <col min="6" max="6" width="20.7109375" customWidth="1"/>
  </cols>
  <sheetData>
    <row r="1" spans="1:12" ht="18.75" customHeight="1" thickBot="1" x14ac:dyDescent="0.3">
      <c r="A1" s="70" t="s">
        <v>305</v>
      </c>
      <c r="B1" s="67"/>
      <c r="C1" s="67"/>
      <c r="D1" s="154" t="s">
        <v>306</v>
      </c>
      <c r="E1" s="111"/>
      <c r="F1" s="111"/>
    </row>
    <row r="2" spans="1:12" ht="59.25" customHeight="1" thickBot="1" x14ac:dyDescent="0.3">
      <c r="A2" s="155" t="s">
        <v>307</v>
      </c>
      <c r="B2" s="96"/>
      <c r="C2" s="156"/>
      <c r="D2" s="153" t="s">
        <v>308</v>
      </c>
      <c r="E2" s="96"/>
      <c r="F2" s="97"/>
      <c r="G2" s="65"/>
      <c r="H2" s="65"/>
      <c r="I2" s="65"/>
      <c r="J2" s="65"/>
      <c r="K2" s="65"/>
      <c r="L2" s="65"/>
    </row>
    <row r="3" spans="1:12" ht="30.75" customHeight="1" thickBot="1" x14ac:dyDescent="0.3">
      <c r="A3" s="66" t="s">
        <v>309</v>
      </c>
      <c r="B3" s="66" t="s">
        <v>310</v>
      </c>
      <c r="C3" s="68" t="s">
        <v>311</v>
      </c>
      <c r="D3" s="71" t="s">
        <v>312</v>
      </c>
    </row>
    <row r="4" spans="1:12" ht="57.75" customHeight="1" thickBot="1" x14ac:dyDescent="0.3">
      <c r="A4" s="63" t="s">
        <v>313</v>
      </c>
      <c r="B4" s="64" t="s">
        <v>314</v>
      </c>
      <c r="C4" s="69" t="s">
        <v>315</v>
      </c>
      <c r="D4" s="72" t="s">
        <v>316</v>
      </c>
    </row>
    <row r="5" spans="1:12" ht="57.75" customHeight="1" thickBot="1" x14ac:dyDescent="0.3">
      <c r="A5" s="63" t="s">
        <v>317</v>
      </c>
      <c r="B5" s="64" t="s">
        <v>318</v>
      </c>
      <c r="C5" s="69" t="s">
        <v>319</v>
      </c>
      <c r="D5" s="72" t="s">
        <v>320</v>
      </c>
    </row>
    <row r="6" spans="1:12" ht="30" customHeight="1" thickBot="1" x14ac:dyDescent="0.3">
      <c r="A6" s="63" t="s">
        <v>321</v>
      </c>
      <c r="B6" s="64" t="s">
        <v>322</v>
      </c>
      <c r="C6" s="69" t="s">
        <v>323</v>
      </c>
      <c r="D6" s="73" t="s">
        <v>324</v>
      </c>
    </row>
    <row r="7" spans="1:12" ht="72.75" customHeight="1" thickBot="1" x14ac:dyDescent="0.3">
      <c r="A7" s="63" t="s">
        <v>325</v>
      </c>
      <c r="B7" s="64" t="s">
        <v>326</v>
      </c>
      <c r="C7" s="69" t="s">
        <v>327</v>
      </c>
      <c r="D7" s="73" t="s">
        <v>328</v>
      </c>
    </row>
  </sheetData>
  <mergeCells count="3">
    <mergeCell ref="D2:F2"/>
    <mergeCell ref="D1:F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EVA</vt:lpstr>
      <vt:lpstr>GRÁFICOS</vt:lpstr>
      <vt:lpstr>INICIO</vt:lpstr>
      <vt:lpstr>RES-RF-RNF</vt:lpstr>
      <vt:lpstr>TABLAS</vt:lpstr>
      <vt:lpstr>DETALLE-IEEE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Ricardo Yanapa Huayta</cp:lastModifiedBy>
  <cp:lastPrinted>2025-04-23T13:34:03Z</cp:lastPrinted>
  <dcterms:created xsi:type="dcterms:W3CDTF">2022-08-17T19:14:31Z</dcterms:created>
  <dcterms:modified xsi:type="dcterms:W3CDTF">2026-09-01T03:34:17Z</dcterms:modified>
</cp:coreProperties>
</file>